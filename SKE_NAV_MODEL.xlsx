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investment-my.sharepoint.com/personal/kyle_tsuji_bci_ca/Documents/Skeena Gold + Silver/Models/"/>
    </mc:Choice>
  </mc:AlternateContent>
  <xr:revisionPtr revIDLastSave="6587" documentId="8_{7896F2A1-C066-401D-B16A-C8729E52378A}" xr6:coauthVersionLast="47" xr6:coauthVersionMax="47" xr10:uidLastSave="{0DCCEB94-6B01-4D85-9A01-AE53A9E143B7}"/>
  <bookViews>
    <workbookView xWindow="-28920" yWindow="-120" windowWidth="29040" windowHeight="15720" tabRatio="874" xr2:uid="{4AB8F92E-501F-48C4-BDB3-B312ED636085}"/>
  </bookViews>
  <sheets>
    <sheet name="Cover Page" sheetId="12" r:id="rId1"/>
    <sheet name="Economic Assumptions" sheetId="6" r:id="rId2"/>
    <sheet name="Models -&gt;" sheetId="20" r:id="rId3"/>
    <sheet name="NAV Model" sheetId="1" r:id="rId4"/>
    <sheet name="Comps" sheetId="16" r:id="rId5"/>
    <sheet name="PTA" sheetId="18" r:id="rId6"/>
    <sheet name="Broker Summary" sheetId="17" r:id="rId7"/>
    <sheet name="Thesis Support -&gt;" sheetId="19" r:id="rId8"/>
    <sheet name="Thesis 2" sheetId="13" r:id="rId9"/>
    <sheet name="Mine Overview" sheetId="14" r:id="rId10"/>
    <sheet name="Data Inputs -&gt;" sheetId="11" r:id="rId11"/>
    <sheet name="Reserve &amp; Resource" sheetId="2" r:id="rId12"/>
    <sheet name="Production Schedule" sheetId="3" r:id="rId13"/>
    <sheet name="Operating Costs" sheetId="4" r:id="rId14"/>
    <sheet name="Concentrate Overview" sheetId="15" r:id="rId15"/>
    <sheet name="Capital Costs" sheetId="5" r:id="rId16"/>
    <sheet name="Financial Statements -&gt;" sheetId="10" r:id="rId17"/>
    <sheet name="Statement of Loss" sheetId="7" r:id="rId18"/>
    <sheet name="Balance Sheet" sheetId="8" r:id="rId19"/>
    <sheet name="Cash Flow Statement" sheetId="9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7" l="1"/>
  <c r="H40" i="12"/>
  <c r="I16" i="16"/>
  <c r="I15" i="16"/>
  <c r="H15" i="16"/>
  <c r="I12" i="16"/>
  <c r="Q12" i="16" s="1"/>
  <c r="H12" i="16"/>
  <c r="P12" i="16" s="1"/>
  <c r="Q13" i="16"/>
  <c r="P13" i="16"/>
  <c r="Q11" i="16"/>
  <c r="P11" i="16"/>
  <c r="I11" i="16"/>
  <c r="H11" i="16"/>
  <c r="H18" i="16"/>
  <c r="I18" i="16"/>
  <c r="Q20" i="13"/>
  <c r="Q21" i="13"/>
  <c r="P20" i="13"/>
  <c r="P19" i="13"/>
  <c r="R15" i="13"/>
  <c r="E22" i="13"/>
  <c r="F22" i="13"/>
  <c r="G22" i="13"/>
  <c r="H22" i="13"/>
  <c r="I22" i="13"/>
  <c r="J22" i="13"/>
  <c r="K22" i="13"/>
  <c r="L22" i="13"/>
  <c r="M22" i="13"/>
  <c r="N22" i="13"/>
  <c r="O22" i="13"/>
  <c r="D22" i="13"/>
  <c r="P21" i="13"/>
  <c r="E21" i="13"/>
  <c r="F21" i="13"/>
  <c r="G21" i="13"/>
  <c r="H21" i="13"/>
  <c r="I21" i="13"/>
  <c r="J21" i="13"/>
  <c r="K21" i="13"/>
  <c r="L21" i="13"/>
  <c r="M21" i="13"/>
  <c r="N21" i="13"/>
  <c r="O21" i="13"/>
  <c r="D21" i="13"/>
  <c r="C25" i="2"/>
  <c r="D24" i="2"/>
  <c r="C24" i="2"/>
  <c r="B24" i="2"/>
  <c r="C22" i="2"/>
  <c r="D21" i="2"/>
  <c r="C21" i="2"/>
  <c r="B21" i="2"/>
  <c r="B103" i="13"/>
  <c r="E85" i="13"/>
  <c r="B55" i="13"/>
  <c r="B56" i="13"/>
  <c r="E49" i="13"/>
  <c r="F49" i="13" s="1"/>
  <c r="E48" i="13"/>
  <c r="F48" i="13" s="1"/>
  <c r="F85" i="13"/>
  <c r="D85" i="13"/>
  <c r="F84" i="13"/>
  <c r="E84" i="13"/>
  <c r="D84" i="13"/>
  <c r="Q22" i="16" l="1"/>
  <c r="Q21" i="16"/>
  <c r="Q20" i="16"/>
  <c r="P23" i="16"/>
  <c r="P21" i="16"/>
  <c r="P20" i="16"/>
  <c r="P22" i="16"/>
  <c r="Q23" i="16"/>
  <c r="E53" i="13"/>
  <c r="E52" i="13"/>
  <c r="F52" i="13" s="1"/>
  <c r="B101" i="13" s="1"/>
  <c r="D86" i="13"/>
  <c r="G86" i="13" s="1"/>
  <c r="F86" i="13"/>
  <c r="G85" i="13"/>
  <c r="K11" i="16"/>
  <c r="O11" i="16" s="1"/>
  <c r="K12" i="16"/>
  <c r="N12" i="16" s="1"/>
  <c r="K16" i="16"/>
  <c r="O16" i="16" s="1"/>
  <c r="K15" i="16"/>
  <c r="N15" i="16" s="1"/>
  <c r="K14" i="16"/>
  <c r="N14" i="16" s="1"/>
  <c r="K13" i="16"/>
  <c r="O13" i="16" s="1"/>
  <c r="S16" i="16"/>
  <c r="R16" i="16"/>
  <c r="S15" i="16"/>
  <c r="R15" i="16"/>
  <c r="S11" i="16"/>
  <c r="R11" i="16"/>
  <c r="J18" i="16"/>
  <c r="I7" i="6"/>
  <c r="I8" i="6"/>
  <c r="I9" i="6"/>
  <c r="I10" i="6"/>
  <c r="C13" i="12"/>
  <c r="G14" i="12" s="1"/>
  <c r="D6" i="18"/>
  <c r="C6" i="16"/>
  <c r="E18" i="16" s="1"/>
  <c r="F15" i="18" s="1"/>
  <c r="B16" i="14"/>
  <c r="B17" i="14"/>
  <c r="D28" i="13"/>
  <c r="G41" i="12"/>
  <c r="I41" i="12"/>
  <c r="R13" i="16"/>
  <c r="S13" i="16"/>
  <c r="R14" i="16"/>
  <c r="S14" i="16"/>
  <c r="C9" i="12"/>
  <c r="C48" i="1"/>
  <c r="H41" i="12" l="1"/>
  <c r="F53" i="13"/>
  <c r="B93" i="13" s="1"/>
  <c r="N11" i="16"/>
  <c r="N16" i="16"/>
  <c r="O15" i="16"/>
  <c r="F18" i="16"/>
  <c r="J18" i="18"/>
  <c r="J19" i="18"/>
  <c r="O14" i="16"/>
  <c r="N13" i="16"/>
  <c r="O12" i="16"/>
  <c r="R21" i="16"/>
  <c r="S22" i="16"/>
  <c r="R22" i="16"/>
  <c r="S21" i="16"/>
  <c r="R20" i="16"/>
  <c r="R23" i="16"/>
  <c r="S20" i="16"/>
  <c r="S23" i="16"/>
  <c r="D6" i="14"/>
  <c r="D15" i="14" s="1"/>
  <c r="E6" i="14"/>
  <c r="E15" i="14" s="1"/>
  <c r="F6" i="14"/>
  <c r="F15" i="14" s="1"/>
  <c r="G6" i="14"/>
  <c r="G15" i="14" s="1"/>
  <c r="H6" i="14"/>
  <c r="H15" i="14" s="1"/>
  <c r="I6" i="14"/>
  <c r="I15" i="14" s="1"/>
  <c r="J6" i="14"/>
  <c r="J15" i="14" s="1"/>
  <c r="K6" i="14"/>
  <c r="K15" i="14" s="1"/>
  <c r="L6" i="14"/>
  <c r="L15" i="14" s="1"/>
  <c r="M6" i="14"/>
  <c r="M15" i="14" s="1"/>
  <c r="N6" i="14"/>
  <c r="N15" i="14" s="1"/>
  <c r="C6" i="14"/>
  <c r="C15" i="14" s="1"/>
  <c r="O28" i="13"/>
  <c r="N28" i="13"/>
  <c r="M28" i="13"/>
  <c r="L28" i="13"/>
  <c r="K28" i="13"/>
  <c r="J28" i="13"/>
  <c r="I28" i="13"/>
  <c r="H28" i="13"/>
  <c r="G28" i="13"/>
  <c r="F28" i="13"/>
  <c r="E28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Q14" i="13"/>
  <c r="P14" i="13"/>
  <c r="Q13" i="13"/>
  <c r="P13" i="13"/>
  <c r="O9" i="13"/>
  <c r="O29" i="13" s="1"/>
  <c r="N9" i="13"/>
  <c r="N29" i="13" s="1"/>
  <c r="M9" i="13"/>
  <c r="M29" i="13" s="1"/>
  <c r="L9" i="13"/>
  <c r="L29" i="13" s="1"/>
  <c r="K9" i="13"/>
  <c r="K29" i="13" s="1"/>
  <c r="J9" i="13"/>
  <c r="J29" i="13" s="1"/>
  <c r="I9" i="13"/>
  <c r="I29" i="13" s="1"/>
  <c r="H9" i="13"/>
  <c r="H29" i="13" s="1"/>
  <c r="G9" i="13"/>
  <c r="G29" i="13" s="1"/>
  <c r="F9" i="13"/>
  <c r="F29" i="13" s="1"/>
  <c r="E9" i="13"/>
  <c r="E29" i="13" s="1"/>
  <c r="D9" i="13"/>
  <c r="Q8" i="13"/>
  <c r="P8" i="13"/>
  <c r="Q7" i="13"/>
  <c r="P7" i="13"/>
  <c r="O6" i="13"/>
  <c r="N6" i="13"/>
  <c r="M6" i="13"/>
  <c r="L6" i="13"/>
  <c r="L12" i="13" s="1"/>
  <c r="L18" i="13" s="1"/>
  <c r="K6" i="13"/>
  <c r="J6" i="13"/>
  <c r="I6" i="13"/>
  <c r="H6" i="13"/>
  <c r="G6" i="13"/>
  <c r="F6" i="13"/>
  <c r="E6" i="13"/>
  <c r="E12" i="13" s="1"/>
  <c r="E18" i="13" s="1"/>
  <c r="D6" i="13"/>
  <c r="D88" i="13" l="1"/>
  <c r="D87" i="13" s="1"/>
  <c r="Q15" i="13"/>
  <c r="H12" i="13"/>
  <c r="H18" i="13" s="1"/>
  <c r="Q9" i="13"/>
  <c r="R9" i="13" s="1"/>
  <c r="I12" i="13"/>
  <c r="I18" i="13" s="1"/>
  <c r="D29" i="13"/>
  <c r="K12" i="13"/>
  <c r="K18" i="13" s="1"/>
  <c r="J12" i="13"/>
  <c r="J18" i="13" s="1"/>
  <c r="P15" i="13"/>
  <c r="P9" i="13"/>
  <c r="G15" i="18"/>
  <c r="F12" i="13"/>
  <c r="F18" i="13" s="1"/>
  <c r="G12" i="13"/>
  <c r="G18" i="13" s="1"/>
  <c r="M12" i="13"/>
  <c r="M18" i="13" s="1"/>
  <c r="N12" i="13"/>
  <c r="N18" i="13" s="1"/>
  <c r="O12" i="13"/>
  <c r="O18" i="13" s="1"/>
  <c r="D12" i="13"/>
  <c r="D18" i="13" s="1"/>
  <c r="J17" i="18"/>
  <c r="J20" i="18"/>
  <c r="I18" i="18"/>
  <c r="I24" i="18" s="1"/>
  <c r="I17" i="18"/>
  <c r="I23" i="18" s="1"/>
  <c r="I20" i="18"/>
  <c r="I26" i="18" s="1"/>
  <c r="I19" i="18"/>
  <c r="I25" i="18" s="1"/>
  <c r="O23" i="16"/>
  <c r="O20" i="16"/>
  <c r="O21" i="16"/>
  <c r="O22" i="16"/>
  <c r="C40" i="1"/>
  <c r="C10" i="1"/>
  <c r="G16" i="12" s="1"/>
  <c r="C8" i="6"/>
  <c r="G3" i="6"/>
  <c r="C18" i="1"/>
  <c r="G18" i="12" s="1"/>
  <c r="C17" i="1"/>
  <c r="H68" i="1" s="1"/>
  <c r="C16" i="1"/>
  <c r="G68" i="1" s="1"/>
  <c r="C15" i="1"/>
  <c r="F68" i="1" s="1"/>
  <c r="C20" i="1"/>
  <c r="G69" i="1" s="1"/>
  <c r="C21" i="1"/>
  <c r="H69" i="1" s="1"/>
  <c r="C22" i="1"/>
  <c r="I69" i="1" s="1"/>
  <c r="C19" i="1"/>
  <c r="F69" i="1" s="1"/>
  <c r="C34" i="1"/>
  <c r="C33" i="12" s="1"/>
  <c r="G11" i="12"/>
  <c r="C32" i="12"/>
  <c r="C31" i="12"/>
  <c r="C25" i="12"/>
  <c r="C21" i="12"/>
  <c r="C20" i="12"/>
  <c r="C19" i="12"/>
  <c r="C18" i="12"/>
  <c r="C15" i="12"/>
  <c r="G29" i="12"/>
  <c r="D53" i="1"/>
  <c r="D52" i="1"/>
  <c r="C53" i="1"/>
  <c r="C52" i="1"/>
  <c r="D50" i="1"/>
  <c r="D49" i="1"/>
  <c r="C50" i="1"/>
  <c r="C49" i="1"/>
  <c r="Q87" i="1"/>
  <c r="D87" i="1" s="1"/>
  <c r="E87" i="1" s="1"/>
  <c r="K86" i="1"/>
  <c r="D86" i="1" s="1"/>
  <c r="E86" i="1" s="1"/>
  <c r="Q85" i="1"/>
  <c r="P85" i="1"/>
  <c r="P88" i="1" s="1"/>
  <c r="M17" i="14" s="1"/>
  <c r="O85" i="1"/>
  <c r="O88" i="1" s="1"/>
  <c r="L17" i="14" s="1"/>
  <c r="N85" i="1"/>
  <c r="N88" i="1" s="1"/>
  <c r="K17" i="14" s="1"/>
  <c r="M85" i="1"/>
  <c r="M88" i="1" s="1"/>
  <c r="J17" i="14" s="1"/>
  <c r="L85" i="1"/>
  <c r="L88" i="1" s="1"/>
  <c r="I17" i="14" s="1"/>
  <c r="K85" i="1"/>
  <c r="J85" i="1"/>
  <c r="J88" i="1" s="1"/>
  <c r="G17" i="14" s="1"/>
  <c r="I85" i="1"/>
  <c r="I88" i="1" s="1"/>
  <c r="F17" i="14" s="1"/>
  <c r="H85" i="1"/>
  <c r="H88" i="1" s="1"/>
  <c r="E17" i="14" s="1"/>
  <c r="G85" i="1"/>
  <c r="G88" i="1" s="1"/>
  <c r="D17" i="14" s="1"/>
  <c r="F85" i="1"/>
  <c r="F88" i="1" s="1"/>
  <c r="C17" i="14" s="1"/>
  <c r="C14" i="12"/>
  <c r="C39" i="1"/>
  <c r="C34" i="12" s="1"/>
  <c r="C26" i="1"/>
  <c r="C30" i="12" s="1"/>
  <c r="C25" i="1"/>
  <c r="Q115" i="1" s="1"/>
  <c r="Q64" i="1"/>
  <c r="P64" i="1"/>
  <c r="O64" i="1"/>
  <c r="N64" i="1"/>
  <c r="M64" i="1"/>
  <c r="L64" i="1"/>
  <c r="K64" i="1"/>
  <c r="J64" i="1"/>
  <c r="I64" i="1"/>
  <c r="H64" i="1"/>
  <c r="G64" i="1"/>
  <c r="F64" i="1"/>
  <c r="Q61" i="1"/>
  <c r="P61" i="1"/>
  <c r="O61" i="1"/>
  <c r="N61" i="1"/>
  <c r="M61" i="1"/>
  <c r="L61" i="1"/>
  <c r="K61" i="1"/>
  <c r="J61" i="1"/>
  <c r="I61" i="1"/>
  <c r="H61" i="1"/>
  <c r="G61" i="1"/>
  <c r="F61" i="1"/>
  <c r="Q63" i="1"/>
  <c r="P63" i="1"/>
  <c r="O63" i="1"/>
  <c r="N63" i="1"/>
  <c r="M63" i="1"/>
  <c r="L63" i="1"/>
  <c r="K63" i="1"/>
  <c r="J63" i="1"/>
  <c r="I63" i="1"/>
  <c r="H63" i="1"/>
  <c r="G63" i="1"/>
  <c r="F63" i="1"/>
  <c r="Q60" i="1"/>
  <c r="P60" i="1"/>
  <c r="O60" i="1"/>
  <c r="N60" i="1"/>
  <c r="M60" i="1"/>
  <c r="L60" i="1"/>
  <c r="K60" i="1"/>
  <c r="J60" i="1"/>
  <c r="I60" i="1"/>
  <c r="H60" i="1"/>
  <c r="G60" i="1"/>
  <c r="F60" i="1"/>
  <c r="Q57" i="1"/>
  <c r="P57" i="1"/>
  <c r="O57" i="1"/>
  <c r="N57" i="1"/>
  <c r="M57" i="1"/>
  <c r="L57" i="1"/>
  <c r="K57" i="1"/>
  <c r="J57" i="1"/>
  <c r="I57" i="1"/>
  <c r="H57" i="1"/>
  <c r="G57" i="1"/>
  <c r="F57" i="1"/>
  <c r="D89" i="13" l="1"/>
  <c r="B94" i="13" s="1"/>
  <c r="E89" i="13"/>
  <c r="Q88" i="1"/>
  <c r="N17" i="14" s="1"/>
  <c r="C36" i="1"/>
  <c r="C33" i="1"/>
  <c r="G18" i="16" s="1"/>
  <c r="F107" i="1"/>
  <c r="G19" i="12"/>
  <c r="C22" i="12"/>
  <c r="I32" i="18"/>
  <c r="C7" i="6"/>
  <c r="B4" i="14" s="1"/>
  <c r="E52" i="1"/>
  <c r="E50" i="1"/>
  <c r="E49" i="1"/>
  <c r="Q113" i="1"/>
  <c r="K88" i="1"/>
  <c r="H17" i="14" s="1"/>
  <c r="E53" i="1"/>
  <c r="C128" i="1"/>
  <c r="C35" i="1"/>
  <c r="C125" i="1"/>
  <c r="C124" i="1"/>
  <c r="C127" i="1"/>
  <c r="C123" i="1"/>
  <c r="C126" i="1"/>
  <c r="C122" i="1"/>
  <c r="C29" i="12"/>
  <c r="C23" i="1"/>
  <c r="J69" i="1"/>
  <c r="N69" i="1"/>
  <c r="O69" i="1"/>
  <c r="Q69" i="1"/>
  <c r="K69" i="1"/>
  <c r="P69" i="1"/>
  <c r="L69" i="1"/>
  <c r="M69" i="1"/>
  <c r="P68" i="1"/>
  <c r="Q68" i="1"/>
  <c r="I68" i="1"/>
  <c r="J68" i="1"/>
  <c r="K68" i="1"/>
  <c r="L68" i="1"/>
  <c r="M68" i="1"/>
  <c r="N68" i="1"/>
  <c r="G121" i="1"/>
  <c r="H121" i="1" s="1"/>
  <c r="I121" i="1" s="1"/>
  <c r="J121" i="1" s="1"/>
  <c r="O68" i="1"/>
  <c r="J107" i="1"/>
  <c r="I107" i="1"/>
  <c r="E60" i="1"/>
  <c r="H107" i="1"/>
  <c r="Q107" i="1"/>
  <c r="G107" i="1"/>
  <c r="L107" i="1"/>
  <c r="M107" i="1"/>
  <c r="K107" i="1"/>
  <c r="N107" i="1"/>
  <c r="O107" i="1"/>
  <c r="P107" i="1"/>
  <c r="C51" i="1"/>
  <c r="D85" i="1"/>
  <c r="E85" i="1" s="1"/>
  <c r="Q111" i="1"/>
  <c r="E64" i="1"/>
  <c r="E61" i="1"/>
  <c r="E63" i="1"/>
  <c r="D57" i="1"/>
  <c r="E57" i="1" s="1"/>
  <c r="Q112" i="1" l="1"/>
  <c r="Q114" i="1"/>
  <c r="B102" i="13"/>
  <c r="F19" i="2"/>
  <c r="I31" i="18"/>
  <c r="I30" i="18"/>
  <c r="I29" i="18"/>
  <c r="E51" i="1"/>
  <c r="D51" i="1" s="1"/>
  <c r="E68" i="1"/>
  <c r="E69" i="1"/>
  <c r="F121" i="1"/>
  <c r="E121" i="1" s="1"/>
  <c r="D121" i="1" s="1"/>
  <c r="D88" i="1"/>
  <c r="E88" i="1" s="1"/>
  <c r="P18" i="16" l="1"/>
  <c r="Q18" i="16"/>
  <c r="Q29" i="16"/>
  <c r="P29" i="16"/>
  <c r="P28" i="16"/>
  <c r="P26" i="16"/>
  <c r="P32" i="16" s="1"/>
  <c r="Q26" i="16"/>
  <c r="Q32" i="16" s="1"/>
  <c r="Q28" i="16"/>
  <c r="Q27" i="16"/>
  <c r="P27" i="16"/>
  <c r="H15" i="18"/>
  <c r="S28" i="16"/>
  <c r="S34" i="16" s="1"/>
  <c r="S26" i="16"/>
  <c r="S32" i="16" s="1"/>
  <c r="S18" i="16"/>
  <c r="S27" i="16"/>
  <c r="S33" i="16" s="1"/>
  <c r="S29" i="16"/>
  <c r="S35" i="16" s="1"/>
  <c r="D22" i="2"/>
  <c r="D25" i="2" s="1"/>
  <c r="D27" i="2" s="1"/>
  <c r="A22" i="2"/>
  <c r="B22" i="2"/>
  <c r="Q34" i="16" l="1"/>
  <c r="I38" i="12"/>
  <c r="P34" i="16"/>
  <c r="I37" i="12"/>
  <c r="P35" i="16"/>
  <c r="G37" i="12"/>
  <c r="Q35" i="16"/>
  <c r="G38" i="12"/>
  <c r="P33" i="16"/>
  <c r="G24" i="12"/>
  <c r="Q33" i="16"/>
  <c r="G25" i="12"/>
  <c r="B25" i="2"/>
  <c r="B27" i="2" s="1"/>
  <c r="F58" i="1"/>
  <c r="H37" i="12" l="1"/>
  <c r="H38" i="12"/>
  <c r="G58" i="1"/>
  <c r="F59" i="1"/>
  <c r="F65" i="1" l="1"/>
  <c r="F62" i="1"/>
  <c r="H58" i="1"/>
  <c r="G59" i="1"/>
  <c r="F73" i="1" l="1"/>
  <c r="F72" i="1"/>
  <c r="C11" i="14"/>
  <c r="C12" i="14" s="1"/>
  <c r="F79" i="1"/>
  <c r="G65" i="1"/>
  <c r="G62" i="1"/>
  <c r="I58" i="1"/>
  <c r="H59" i="1"/>
  <c r="F70" i="1"/>
  <c r="F78" i="1"/>
  <c r="F77" i="1"/>
  <c r="C10" i="14"/>
  <c r="C13" i="14" s="1"/>
  <c r="F76" i="1"/>
  <c r="G72" i="1" l="1"/>
  <c r="G73" i="1"/>
  <c r="J58" i="1"/>
  <c r="I59" i="1"/>
  <c r="F71" i="1"/>
  <c r="F74" i="1" s="1"/>
  <c r="H65" i="1"/>
  <c r="E11" i="14" s="1"/>
  <c r="E12" i="14" s="1"/>
  <c r="H62" i="1"/>
  <c r="D10" i="14"/>
  <c r="G70" i="1"/>
  <c r="G76" i="1"/>
  <c r="G77" i="1"/>
  <c r="G78" i="1"/>
  <c r="F80" i="1"/>
  <c r="D11" i="14"/>
  <c r="D12" i="14" s="1"/>
  <c r="G79" i="1"/>
  <c r="H72" i="1" l="1"/>
  <c r="H73" i="1"/>
  <c r="G80" i="1"/>
  <c r="G81" i="1" s="1"/>
  <c r="D13" i="14"/>
  <c r="H79" i="1"/>
  <c r="E10" i="14"/>
  <c r="E13" i="14" s="1"/>
  <c r="H70" i="1"/>
  <c r="H77" i="1"/>
  <c r="H76" i="1"/>
  <c r="H78" i="1"/>
  <c r="G71" i="1"/>
  <c r="G74" i="1" s="1"/>
  <c r="F81" i="1"/>
  <c r="F92" i="1" s="1"/>
  <c r="F89" i="1"/>
  <c r="F90" i="1" s="1"/>
  <c r="I62" i="1"/>
  <c r="I65" i="1"/>
  <c r="K58" i="1"/>
  <c r="J59" i="1"/>
  <c r="G92" i="1" l="1"/>
  <c r="I72" i="1"/>
  <c r="I73" i="1"/>
  <c r="D16" i="14"/>
  <c r="G82" i="1"/>
  <c r="G95" i="1"/>
  <c r="G96" i="1" s="1"/>
  <c r="G89" i="1"/>
  <c r="G90" i="1" s="1"/>
  <c r="D8" i="14" s="1"/>
  <c r="F10" i="14"/>
  <c r="I70" i="1"/>
  <c r="I78" i="1"/>
  <c r="I77" i="1"/>
  <c r="I76" i="1"/>
  <c r="H80" i="1"/>
  <c r="I79" i="1"/>
  <c r="F11" i="14"/>
  <c r="F12" i="14" s="1"/>
  <c r="C16" i="14"/>
  <c r="F82" i="1"/>
  <c r="H71" i="1"/>
  <c r="H74" i="1" s="1"/>
  <c r="F95" i="1"/>
  <c r="C8" i="14"/>
  <c r="J65" i="1"/>
  <c r="G11" i="14" s="1"/>
  <c r="G12" i="14" s="1"/>
  <c r="J62" i="1"/>
  <c r="L58" i="1"/>
  <c r="K59" i="1"/>
  <c r="J72" i="1" l="1"/>
  <c r="J73" i="1"/>
  <c r="I80" i="1"/>
  <c r="I81" i="1" s="1"/>
  <c r="F16" i="14" s="1"/>
  <c r="F13" i="14"/>
  <c r="K62" i="1"/>
  <c r="K65" i="1"/>
  <c r="M58" i="1"/>
  <c r="L59" i="1"/>
  <c r="I89" i="1"/>
  <c r="I90" i="1" s="1"/>
  <c r="F8" i="14" s="1"/>
  <c r="J79" i="1"/>
  <c r="G10" i="14"/>
  <c r="G13" i="14" s="1"/>
  <c r="J78" i="1"/>
  <c r="J76" i="1"/>
  <c r="J70" i="1"/>
  <c r="J77" i="1"/>
  <c r="H81" i="1"/>
  <c r="H95" i="1" s="1"/>
  <c r="H89" i="1"/>
  <c r="H90" i="1" s="1"/>
  <c r="I71" i="1"/>
  <c r="I74" i="1" s="1"/>
  <c r="I92" i="1" s="1"/>
  <c r="F96" i="1"/>
  <c r="K72" i="1" l="1"/>
  <c r="K73" i="1"/>
  <c r="H92" i="1"/>
  <c r="I82" i="1"/>
  <c r="I95" i="1"/>
  <c r="I96" i="1" s="1"/>
  <c r="E8" i="14"/>
  <c r="H96" i="1"/>
  <c r="L62" i="1"/>
  <c r="L65" i="1"/>
  <c r="N58" i="1"/>
  <c r="M59" i="1"/>
  <c r="E16" i="14"/>
  <c r="H82" i="1"/>
  <c r="J71" i="1"/>
  <c r="J74" i="1" s="1"/>
  <c r="H11" i="14"/>
  <c r="H12" i="14" s="1"/>
  <c r="K79" i="1"/>
  <c r="J80" i="1"/>
  <c r="K77" i="1"/>
  <c r="K78" i="1"/>
  <c r="K70" i="1"/>
  <c r="H10" i="14"/>
  <c r="K76" i="1"/>
  <c r="L73" i="1" l="1"/>
  <c r="L72" i="1"/>
  <c r="H13" i="14"/>
  <c r="J81" i="1"/>
  <c r="J95" i="1" s="1"/>
  <c r="J89" i="1"/>
  <c r="J90" i="1" s="1"/>
  <c r="K80" i="1"/>
  <c r="M62" i="1"/>
  <c r="M65" i="1"/>
  <c r="L78" i="1"/>
  <c r="I10" i="14"/>
  <c r="L70" i="1"/>
  <c r="L76" i="1"/>
  <c r="L77" i="1"/>
  <c r="O58" i="1"/>
  <c r="N59" i="1"/>
  <c r="I11" i="14"/>
  <c r="I12" i="14" s="1"/>
  <c r="L79" i="1"/>
  <c r="K71" i="1"/>
  <c r="K74" i="1" s="1"/>
  <c r="M72" i="1" l="1"/>
  <c r="M73" i="1"/>
  <c r="J92" i="1"/>
  <c r="I13" i="14"/>
  <c r="N65" i="1"/>
  <c r="N62" i="1"/>
  <c r="L80" i="1"/>
  <c r="M76" i="1"/>
  <c r="M78" i="1"/>
  <c r="J10" i="14"/>
  <c r="M77" i="1"/>
  <c r="M70" i="1"/>
  <c r="P58" i="1"/>
  <c r="O59" i="1"/>
  <c r="K81" i="1"/>
  <c r="K92" i="1" s="1"/>
  <c r="K89" i="1"/>
  <c r="K90" i="1" s="1"/>
  <c r="H8" i="14" s="1"/>
  <c r="J11" i="14"/>
  <c r="J12" i="14" s="1"/>
  <c r="M79" i="1"/>
  <c r="G8" i="14"/>
  <c r="G16" i="14"/>
  <c r="J82" i="1"/>
  <c r="L71" i="1"/>
  <c r="L74" i="1" s="1"/>
  <c r="J96" i="1"/>
  <c r="N72" i="1" l="1"/>
  <c r="N73" i="1"/>
  <c r="M71" i="1"/>
  <c r="M74" i="1" s="1"/>
  <c r="H16" i="14"/>
  <c r="K82" i="1"/>
  <c r="K11" i="14"/>
  <c r="K12" i="14" s="1"/>
  <c r="N79" i="1"/>
  <c r="O65" i="1"/>
  <c r="O62" i="1"/>
  <c r="Q58" i="1"/>
  <c r="P59" i="1"/>
  <c r="M80" i="1"/>
  <c r="J13" i="14"/>
  <c r="L81" i="1"/>
  <c r="L92" i="1" s="1"/>
  <c r="L89" i="1"/>
  <c r="L90" i="1" s="1"/>
  <c r="N78" i="1"/>
  <c r="N77" i="1"/>
  <c r="N76" i="1"/>
  <c r="N70" i="1"/>
  <c r="K10" i="14"/>
  <c r="K95" i="1"/>
  <c r="O72" i="1" l="1"/>
  <c r="O73" i="1"/>
  <c r="K13" i="14"/>
  <c r="N80" i="1"/>
  <c r="N81" i="1" s="1"/>
  <c r="K16" i="14" s="1"/>
  <c r="K96" i="1"/>
  <c r="N71" i="1"/>
  <c r="N74" i="1" s="1"/>
  <c r="I16" i="14"/>
  <c r="L82" i="1"/>
  <c r="M81" i="1"/>
  <c r="M92" i="1" s="1"/>
  <c r="M89" i="1"/>
  <c r="M90" i="1" s="1"/>
  <c r="J8" i="14" s="1"/>
  <c r="L95" i="1"/>
  <c r="P65" i="1"/>
  <c r="P62" i="1"/>
  <c r="L11" i="14"/>
  <c r="L12" i="14" s="1"/>
  <c r="O79" i="1"/>
  <c r="Q59" i="1"/>
  <c r="D58" i="1"/>
  <c r="E58" i="1" s="1"/>
  <c r="I8" i="14"/>
  <c r="L10" i="14"/>
  <c r="O78" i="1"/>
  <c r="O76" i="1"/>
  <c r="O70" i="1"/>
  <c r="O77" i="1"/>
  <c r="N92" i="1" l="1"/>
  <c r="P73" i="1"/>
  <c r="P72" i="1"/>
  <c r="N89" i="1"/>
  <c r="N90" i="1" s="1"/>
  <c r="K8" i="14" s="1"/>
  <c r="Q62" i="1"/>
  <c r="Q65" i="1"/>
  <c r="D59" i="1"/>
  <c r="E59" i="1" s="1"/>
  <c r="O80" i="1"/>
  <c r="P77" i="1"/>
  <c r="P78" i="1"/>
  <c r="M10" i="14"/>
  <c r="M13" i="14" s="1"/>
  <c r="P76" i="1"/>
  <c r="P70" i="1"/>
  <c r="J16" i="14"/>
  <c r="M82" i="1"/>
  <c r="M11" i="14"/>
  <c r="M12" i="14" s="1"/>
  <c r="P79" i="1"/>
  <c r="L96" i="1"/>
  <c r="O71" i="1"/>
  <c r="O74" i="1" s="1"/>
  <c r="N82" i="1"/>
  <c r="N95" i="1"/>
  <c r="L13" i="14"/>
  <c r="M95" i="1"/>
  <c r="G27" i="12"/>
  <c r="P80" i="1" l="1"/>
  <c r="Q73" i="1"/>
  <c r="D73" i="1" s="1"/>
  <c r="E73" i="1" s="1"/>
  <c r="Q72" i="1"/>
  <c r="D72" i="1" s="1"/>
  <c r="E72" i="1" s="1"/>
  <c r="P81" i="1"/>
  <c r="M16" i="14" s="1"/>
  <c r="O81" i="1"/>
  <c r="O92" i="1" s="1"/>
  <c r="O89" i="1"/>
  <c r="O90" i="1" s="1"/>
  <c r="L8" i="14" s="1"/>
  <c r="N96" i="1"/>
  <c r="Q79" i="1"/>
  <c r="N11" i="14"/>
  <c r="N12" i="14" s="1"/>
  <c r="D65" i="1"/>
  <c r="E65" i="1" s="1"/>
  <c r="P71" i="1"/>
  <c r="P74" i="1" s="1"/>
  <c r="P92" i="1" s="1"/>
  <c r="M96" i="1"/>
  <c r="Q70" i="1"/>
  <c r="Q76" i="1"/>
  <c r="E76" i="1" s="1"/>
  <c r="Q78" i="1"/>
  <c r="E78" i="1" s="1"/>
  <c r="N10" i="14"/>
  <c r="Q77" i="1"/>
  <c r="E77" i="1" s="1"/>
  <c r="D62" i="1"/>
  <c r="C11" i="1"/>
  <c r="G17" i="12" s="1"/>
  <c r="N13" i="14" l="1"/>
  <c r="P95" i="1"/>
  <c r="P96" i="1" s="1"/>
  <c r="L16" i="14"/>
  <c r="O82" i="1"/>
  <c r="N93" i="1"/>
  <c r="N97" i="1" s="1"/>
  <c r="N98" i="1" s="1"/>
  <c r="N99" i="1" s="1"/>
  <c r="N101" i="1" s="1"/>
  <c r="N102" i="1" s="1"/>
  <c r="N103" i="1" s="1"/>
  <c r="E62" i="1"/>
  <c r="F93" i="1"/>
  <c r="G93" i="1"/>
  <c r="G97" i="1" s="1"/>
  <c r="G98" i="1" s="1"/>
  <c r="G99" i="1" s="1"/>
  <c r="G101" i="1" s="1"/>
  <c r="G102" i="1" s="1"/>
  <c r="G103" i="1" s="1"/>
  <c r="H93" i="1"/>
  <c r="H97" i="1" s="1"/>
  <c r="H98" i="1" s="1"/>
  <c r="H99" i="1" s="1"/>
  <c r="H101" i="1" s="1"/>
  <c r="H102" i="1" s="1"/>
  <c r="H103" i="1" s="1"/>
  <c r="I93" i="1"/>
  <c r="I97" i="1" s="1"/>
  <c r="I98" i="1" s="1"/>
  <c r="I99" i="1" s="1"/>
  <c r="I101" i="1" s="1"/>
  <c r="I102" i="1" s="1"/>
  <c r="I103" i="1" s="1"/>
  <c r="J93" i="1"/>
  <c r="J97" i="1" s="1"/>
  <c r="J98" i="1" s="1"/>
  <c r="J99" i="1" s="1"/>
  <c r="J101" i="1" s="1"/>
  <c r="J102" i="1" s="1"/>
  <c r="J103" i="1" s="1"/>
  <c r="K93" i="1"/>
  <c r="K97" i="1" s="1"/>
  <c r="K98" i="1" s="1"/>
  <c r="K99" i="1" s="1"/>
  <c r="K101" i="1" s="1"/>
  <c r="K102" i="1" s="1"/>
  <c r="K103" i="1" s="1"/>
  <c r="L93" i="1"/>
  <c r="L97" i="1" s="1"/>
  <c r="L98" i="1" s="1"/>
  <c r="L99" i="1" s="1"/>
  <c r="M93" i="1"/>
  <c r="M97" i="1" s="1"/>
  <c r="M98" i="1" s="1"/>
  <c r="M99" i="1" s="1"/>
  <c r="M101" i="1" s="1"/>
  <c r="M102" i="1" s="1"/>
  <c r="M103" i="1" s="1"/>
  <c r="O93" i="1"/>
  <c r="P93" i="1"/>
  <c r="Q93" i="1"/>
  <c r="Q71" i="1"/>
  <c r="D71" i="1" s="1"/>
  <c r="E71" i="1" s="1"/>
  <c r="D70" i="1"/>
  <c r="E70" i="1" s="1"/>
  <c r="P89" i="1"/>
  <c r="P90" i="1" s="1"/>
  <c r="M8" i="14" s="1"/>
  <c r="Q80" i="1"/>
  <c r="E79" i="1"/>
  <c r="P82" i="1"/>
  <c r="O95" i="1"/>
  <c r="Q74" i="1" l="1"/>
  <c r="D74" i="1" s="1"/>
  <c r="E74" i="1" s="1"/>
  <c r="P97" i="1"/>
  <c r="P98" i="1" s="1"/>
  <c r="J106" i="1"/>
  <c r="J108" i="1" s="1"/>
  <c r="J104" i="1"/>
  <c r="I106" i="1"/>
  <c r="I108" i="1" s="1"/>
  <c r="I104" i="1"/>
  <c r="O96" i="1"/>
  <c r="O97" i="1"/>
  <c r="O98" i="1" s="1"/>
  <c r="D93" i="1"/>
  <c r="E93" i="1" s="1"/>
  <c r="F97" i="1"/>
  <c r="H106" i="1"/>
  <c r="H108" i="1" s="1"/>
  <c r="H104" i="1"/>
  <c r="L101" i="1"/>
  <c r="L102" i="1" s="1"/>
  <c r="L103" i="1" s="1"/>
  <c r="K106" i="1"/>
  <c r="K108" i="1" s="1"/>
  <c r="K104" i="1"/>
  <c r="N106" i="1"/>
  <c r="N108" i="1" s="1"/>
  <c r="N104" i="1"/>
  <c r="Q81" i="1"/>
  <c r="Q95" i="1" s="1"/>
  <c r="Q89" i="1"/>
  <c r="Q90" i="1" s="1"/>
  <c r="E80" i="1"/>
  <c r="P99" i="1"/>
  <c r="P101" i="1" s="1"/>
  <c r="P102" i="1" s="1"/>
  <c r="P103" i="1" s="1"/>
  <c r="M104" i="1"/>
  <c r="M106" i="1"/>
  <c r="M108" i="1" s="1"/>
  <c r="G106" i="1"/>
  <c r="G108" i="1" s="1"/>
  <c r="G104" i="1"/>
  <c r="Q92" i="1" l="1"/>
  <c r="L106" i="1"/>
  <c r="L108" i="1" s="1"/>
  <c r="L104" i="1"/>
  <c r="Q96" i="1"/>
  <c r="D96" i="1" s="1"/>
  <c r="E96" i="1" s="1"/>
  <c r="D95" i="1"/>
  <c r="E95" i="1" s="1"/>
  <c r="F98" i="1"/>
  <c r="N8" i="14"/>
  <c r="E90" i="1"/>
  <c r="N16" i="14"/>
  <c r="D81" i="1"/>
  <c r="Q82" i="1"/>
  <c r="E82" i="1" s="1"/>
  <c r="Q97" i="1"/>
  <c r="Q98" i="1" s="1"/>
  <c r="O99" i="1"/>
  <c r="P106" i="1"/>
  <c r="P108" i="1" s="1"/>
  <c r="P104" i="1"/>
  <c r="D92" i="1" l="1"/>
  <c r="E92" i="1" s="1"/>
  <c r="J123" i="1" a="1"/>
  <c r="J123" i="1" s="1"/>
  <c r="F124" i="1" a="1"/>
  <c r="F124" i="1" s="1"/>
  <c r="I126" i="1" a="1"/>
  <c r="I126" i="1" s="1"/>
  <c r="D124" i="1" a="1"/>
  <c r="D124" i="1" s="1"/>
  <c r="E127" i="1" a="1"/>
  <c r="E127" i="1" s="1"/>
  <c r="F123" i="1" a="1"/>
  <c r="F123" i="1" s="1"/>
  <c r="F127" i="1" a="1"/>
  <c r="F127" i="1" s="1"/>
  <c r="H127" i="1" a="1"/>
  <c r="H127" i="1" s="1"/>
  <c r="I124" i="1" a="1"/>
  <c r="I124" i="1" s="1"/>
  <c r="I127" i="1" a="1"/>
  <c r="I127" i="1" s="1"/>
  <c r="F128" i="1" a="1"/>
  <c r="F128" i="1" s="1"/>
  <c r="F122" i="1" a="1"/>
  <c r="F122" i="1" s="1"/>
  <c r="G123" i="1" a="1"/>
  <c r="G123" i="1" s="1"/>
  <c r="I125" i="1" a="1"/>
  <c r="I125" i="1" s="1"/>
  <c r="D127" i="1" a="1"/>
  <c r="D127" i="1" s="1"/>
  <c r="H122" i="1" a="1"/>
  <c r="H122" i="1" s="1"/>
  <c r="G122" i="1" a="1"/>
  <c r="G122" i="1" s="1"/>
  <c r="J122" i="1" a="1"/>
  <c r="J122" i="1" s="1"/>
  <c r="E123" i="1" a="1"/>
  <c r="E123" i="1" s="1"/>
  <c r="E122" i="1" a="1"/>
  <c r="E122" i="1" s="1"/>
  <c r="D128" i="1" a="1"/>
  <c r="D128" i="1" s="1"/>
  <c r="H124" i="1" a="1"/>
  <c r="H124" i="1" s="1"/>
  <c r="G124" i="1" a="1"/>
  <c r="G124" i="1" s="1"/>
  <c r="I123" i="1" a="1"/>
  <c r="I123" i="1" s="1"/>
  <c r="H125" i="1" a="1"/>
  <c r="H125" i="1" s="1"/>
  <c r="J126" i="1" a="1"/>
  <c r="J126" i="1" s="1"/>
  <c r="H123" i="1" a="1"/>
  <c r="H123" i="1" s="1"/>
  <c r="E126" i="1" a="1"/>
  <c r="E126" i="1" s="1"/>
  <c r="J128" i="1" a="1"/>
  <c r="J128" i="1" s="1"/>
  <c r="D125" i="1" a="1"/>
  <c r="D125" i="1" s="1"/>
  <c r="G125" i="1" a="1"/>
  <c r="G125" i="1" s="1"/>
  <c r="D123" i="1" a="1"/>
  <c r="D123" i="1" s="1"/>
  <c r="I128" i="1" a="1"/>
  <c r="I128" i="1" s="1"/>
  <c r="J127" i="1" a="1"/>
  <c r="J127" i="1" s="1"/>
  <c r="H126" i="1" a="1"/>
  <c r="H126" i="1" s="1"/>
  <c r="E124" i="1" a="1"/>
  <c r="E124" i="1" s="1"/>
  <c r="F126" i="1" a="1"/>
  <c r="F126" i="1" s="1"/>
  <c r="E128" i="1" a="1"/>
  <c r="E128" i="1" s="1"/>
  <c r="J125" i="1" a="1"/>
  <c r="J125" i="1" s="1"/>
  <c r="H128" i="1" a="1"/>
  <c r="H128" i="1" s="1"/>
  <c r="E125" i="1" a="1"/>
  <c r="E125" i="1" s="1"/>
  <c r="J124" i="1" a="1"/>
  <c r="J124" i="1" s="1"/>
  <c r="G127" i="1" a="1"/>
  <c r="G127" i="1" s="1"/>
  <c r="I122" i="1" a="1"/>
  <c r="I122" i="1" s="1"/>
  <c r="F125" i="1" a="1"/>
  <c r="F125" i="1" s="1"/>
  <c r="G126" i="1" a="1"/>
  <c r="G126" i="1" s="1"/>
  <c r="G128" i="1" a="1"/>
  <c r="G128" i="1" s="1"/>
  <c r="D122" i="1" a="1"/>
  <c r="D122" i="1" s="1"/>
  <c r="D126" i="1" a="1"/>
  <c r="D126" i="1" s="1"/>
  <c r="E81" i="1"/>
  <c r="E89" i="1"/>
  <c r="D97" i="1"/>
  <c r="E97" i="1" s="1"/>
  <c r="D98" i="1"/>
  <c r="E98" i="1" s="1"/>
  <c r="F99" i="1"/>
  <c r="Q99" i="1"/>
  <c r="Q101" i="1" s="1"/>
  <c r="Q102" i="1" s="1"/>
  <c r="Q103" i="1" s="1"/>
  <c r="Q104" i="1" s="1"/>
  <c r="O101" i="1"/>
  <c r="O102" i="1" s="1"/>
  <c r="O103" i="1" s="1"/>
  <c r="Q106" i="1" l="1"/>
  <c r="Q108" i="1" s="1"/>
  <c r="O106" i="1"/>
  <c r="O108" i="1" s="1"/>
  <c r="O104" i="1"/>
  <c r="F101" i="1"/>
  <c r="D99" i="1"/>
  <c r="E99" i="1" s="1"/>
  <c r="F102" i="1" l="1"/>
  <c r="D101" i="1"/>
  <c r="E101" i="1" s="1"/>
  <c r="F103" i="1" l="1"/>
  <c r="D102" i="1"/>
  <c r="E102" i="1" s="1"/>
  <c r="F106" i="1" l="1"/>
  <c r="F104" i="1"/>
  <c r="D103" i="1"/>
  <c r="F108" i="1" l="1"/>
  <c r="D108" i="1" s="1"/>
  <c r="Q110" i="1" s="1"/>
  <c r="Q116" i="1" s="1"/>
  <c r="D106" i="1"/>
  <c r="E106" i="1" s="1"/>
  <c r="D104" i="1"/>
  <c r="E103" i="1"/>
  <c r="E104" i="1" s="1"/>
  <c r="C6" i="1" l="1"/>
  <c r="Q117" i="1"/>
  <c r="C7" i="1" s="1"/>
  <c r="G13" i="12" l="1"/>
  <c r="C9" i="1"/>
  <c r="G15" i="12" s="1"/>
  <c r="G12" i="12"/>
  <c r="K18" i="16" l="1"/>
  <c r="J15" i="18"/>
  <c r="J25" i="18"/>
  <c r="J23" i="18"/>
  <c r="J29" i="18" s="1"/>
  <c r="J26" i="18"/>
  <c r="J24" i="18"/>
  <c r="J30" i="18" l="1"/>
  <c r="G26" i="12"/>
  <c r="I39" i="12"/>
  <c r="J31" i="18"/>
  <c r="G39" i="12"/>
  <c r="J32" i="18"/>
  <c r="O27" i="16"/>
  <c r="O29" i="16"/>
  <c r="O18" i="16"/>
  <c r="N18" i="16"/>
  <c r="O26" i="16"/>
  <c r="O32" i="16" s="1"/>
  <c r="O28" i="16"/>
  <c r="G36" i="12" l="1"/>
  <c r="O35" i="16"/>
  <c r="O33" i="16"/>
  <c r="G23" i="12"/>
  <c r="G28" i="12" s="1"/>
  <c r="H39" i="12"/>
  <c r="I36" i="12"/>
  <c r="O34" i="16"/>
  <c r="H36" i="12" l="1"/>
  <c r="G30" i="12"/>
  <c r="D7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Tsuji, Kyle</author>
  </authors>
  <commentList>
    <comment ref="C13" authorId="0" shapeId="0" xr:uid="{01EE625B-362F-41D3-A25F-4C5BF1B58A32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USD share price converted to CAD. All Cover Page valuation outputs in CAD to match TSX listing.</t>
        </r>
      </text>
    </comment>
    <comment ref="G13" authorId="0" shapeId="0" xr:uid="{712F8451-0EDD-486C-8CEC-6175488A970D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USD NAV/share converted to CAD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Tsuji, Kyle</author>
  </authors>
  <commentList>
    <comment ref="C36" authorId="0" shapeId="0" xr:uid="{2A3F7B65-0783-4CAB-ADEE-E67BF859378C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Source: Eskay Creek NI 43-101 Updated Feasibility Study (Dec 2023), Section 21. C$43.3M pre-production mining operating costs for initial ore stockpile, excluded from C$713M capex.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Tsuji, Kyle</author>
  </authors>
  <commentList>
    <comment ref="C24" authorId="0" shapeId="0" xr:uid="{0419F2D4-D323-4487-AC2B-BAC1E0A031C3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C$ per 1 USD. Used to convert C$ costs from the technical report into USD for the model.</t>
        </r>
      </text>
    </comment>
    <comment ref="C30" authorId="0" shapeId="0" xr:uid="{D5C2E79F-D234-4592-BF5F-34A3D8AABA48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Net Current Proceeds rate. Applied to net revenue minus operating costs.</t>
        </r>
      </text>
    </comment>
    <comment ref="C31" authorId="0" shapeId="0" xr:uid="{E0D05550-0345-45AB-B041-4B3CB7E78A0E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Net Revenue Tax rate. Applied to NCP base minus capital allowances (depreciation). Mine pays the HIGHER of NCP or NRT.</t>
        </r>
      </text>
    </comment>
    <comment ref="C33" authorId="0" shapeId="0" xr:uid="{71B0AC72-A602-427B-9FE7-04F9BCDFEBEC}">
      <text>
        <r>
          <rPr>
            <b/>
            <sz val="9"/>
            <color indexed="81"/>
            <rFont val="Tahoma"/>
            <family val="2"/>
          </rPr>
          <t xml:space="preserve">From Bloomberg in CAD, converted to USD
</t>
        </r>
      </text>
    </comment>
    <comment ref="C34" authorId="0" shapeId="0" xr:uid="{B7D6F110-B6BA-48C1-BB93-2199DDE37D3D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Pre-production capex (C$713M) converted to USD using FX rate</t>
        </r>
      </text>
    </comment>
    <comment ref="C35" authorId="0" shapeId="0" xr:uid="{4B97F80A-4283-4B18-BD02-DF878EF68162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Total pre-production capex = depreciable asset base (C$713M / FX rate). This is deducted in the NAV bridge as a cash outflow.</t>
        </r>
      </text>
    </comment>
    <comment ref="C36" authorId="0" shapeId="0" xr:uid="{12AD08D2-A972-4C99-A287-040B007AC41D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Source: Skeena Q3 2025 MD&amp;A. C$437.742mm PP&amp;E on balance sheet, but includes non-Eskay assets. Estimated Eskay Creek spend to date ~C$437.742 / 1.37 = US$319.5M. Update quarterly.</t>
        </r>
      </text>
    </comment>
    <comment ref="C39" authorId="0" shapeId="0" xr:uid="{5A72DF96-47B7-4F8C-A21F-63D39C8B8D0E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Closure costs (C$175M) converted to USD using FX rate</t>
        </r>
      </text>
    </comment>
    <comment ref="C40" authorId="0" shapeId="0" xr:uid="{B49B028C-3AA3-4CF9-98E1-C664AC8C2721}">
      <text>
        <r>
          <rPr>
            <b/>
            <sz val="9"/>
            <color indexed="81"/>
            <rFont val="Tahoma"/>
            <family val="2"/>
          </rPr>
          <t>Source: Eskay Creek NI 43-101 Updated Feasibility Study (Dec 2023), Section 21. C$43.3M pre-production mining operating costs for initial ore stockpile, excluded from C$713M capex. Converted to USD using FX rate.</t>
        </r>
      </text>
    </comment>
    <comment ref="C42" authorId="0" shapeId="0" xr:uid="{AAE51C04-C875-472D-B498-FE05B5F41B2E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Options: "Full" = 10.55% stream for LOM. "Buyback" = Skeena exercises 66.67% buyback option, reducing stream to 3.52%. "None" = no stream (hypothetical).</t>
        </r>
      </text>
    </comment>
    <comment ref="C43" authorId="0" shapeId="0" xr:uid="{2B641995-1957-4FAD-9319-D92E9B6A3251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Source: Skeena Gold Stream Agreement with Orion Mine Finance, June 2024. 10.55% of payable gold for life of mine.</t>
        </r>
      </text>
    </comment>
    <comment ref="C44" authorId="0" shapeId="0" xr:uid="{E9620ADB-CAFA-4432-ACC4-0413C7A88A18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Source: Skeena Gold Stream Agreement with Orion Mine Finance. Orion pays 10% of LBMA AM gold fixing price per delivered ounce.</t>
        </r>
      </text>
    </comment>
    <comment ref="C45" authorId="0" shapeId="0" xr:uid="{3732991E-AA2D-45A4-8284-AFA3DA54D586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Estimated cost to buy back 66.67% of stream. = 66.67% × US$200M deposit compounded at 18% IRR from tranche draw dates to mid-2027 repayment. Adjust based on actual draw/repayment timing.</t>
        </r>
      </text>
    </comment>
    <comment ref="F72" authorId="0" shapeId="0" xr:uid="{EA6D415B-A41E-45F9-82E9-6DB7AE83D581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G72" authorId="0" shapeId="0" xr:uid="{DDEEA493-E4DC-488F-99F9-3BFC4A4AB9E2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H72" authorId="0" shapeId="0" xr:uid="{ACFDFA15-F44C-4BE0-87C1-6DEB1FC220A6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I72" authorId="0" shapeId="0" xr:uid="{C5A29908-708A-4F8E-B8AC-D7AD78966251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J72" authorId="0" shapeId="0" xr:uid="{88FA84A4-EA16-4AA6-AE57-E5B35A7496A8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K72" authorId="0" shapeId="0" xr:uid="{E6A80CFF-2CF9-46C8-8595-CD2FEDA3570E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L72" authorId="0" shapeId="0" xr:uid="{4682F9BF-5E95-4124-A13A-2326FAC5D050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M72" authorId="0" shapeId="0" xr:uid="{C23B16C0-07F2-4515-ADA4-EC89FB5FE5D1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N72" authorId="0" shapeId="0" xr:uid="{23583606-FF06-46B4-A3C2-0FA0884B36BE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O72" authorId="0" shapeId="0" xr:uid="{936B1EFD-BFCE-45A9-B38C-DF26D6D5A16D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P72" authorId="0" shapeId="0" xr:uid="{B24DB725-AFCB-4EAB-8E1E-5046E1227256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Q72" authorId="0" shapeId="0" xr:uid="{646C79EF-2F0C-40AA-B008-1BD2261D7687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Gold Stream: 10.55% of payable gold × spot price. This is the gross value of gold delivered to Orion.</t>
        </r>
      </text>
    </comment>
    <comment ref="F73" authorId="0" shapeId="0" xr:uid="{C61EC225-63CC-4155-91F7-247C72485AD3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G73" authorId="0" shapeId="0" xr:uid="{F891390D-360E-4860-BA17-FD1886BD1281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H73" authorId="0" shapeId="0" xr:uid="{F190533F-E5AC-4B3E-9BBB-B6E7EEDC1534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I73" authorId="0" shapeId="0" xr:uid="{AE3A94AF-C50C-4E36-82A8-D284D31F5CA3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J73" authorId="0" shapeId="0" xr:uid="{5AB44C67-79AE-4A55-B01E-3BD88A6AA8F5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K73" authorId="0" shapeId="0" xr:uid="{729F5FD8-EC08-43EB-B666-96F7A1324E50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L73" authorId="0" shapeId="0" xr:uid="{2D003B0A-6DF3-4061-A1F8-B20F0AAB1E95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M73" authorId="0" shapeId="0" xr:uid="{B85F512D-6FFA-494E-893C-A37A3CC23154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N73" authorId="0" shapeId="0" xr:uid="{2755C065-EB51-4CEB-BBBE-6DF38C372847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O73" authorId="0" shapeId="0" xr:uid="{279A0993-099C-4980-A21E-AB060834175C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P73" authorId="0" shapeId="0" xr:uid="{71043738-27D4-42C0-B952-2B07BA8B2327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Q73" authorId="0" shapeId="0" xr:uid="{580E07C3-51A5-4976-88F7-AE3406C7C3F9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Orion pays 10% of spot gold price per ounce delivered under the stream agreement.</t>
        </r>
      </text>
    </comment>
    <comment ref="F85" authorId="0" shapeId="0" xr:uid="{2A84A84B-8078-4DD3-9965-D36C9AE558F5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LOM sustaining capex (C$561.3M) spread evenly over 12 years, converted to USD</t>
        </r>
      </text>
    </comment>
    <comment ref="K86" authorId="0" shapeId="0" xr:uid="{1DE99095-1473-42E8-9241-C108F1760048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Expansion capex (C$8.7M) in Year 6 when mill expands from 3.0 to 3.5 Mtpa</t>
        </r>
      </text>
    </comment>
    <comment ref="Q87" authorId="0" shapeId="0" xr:uid="{2E7D799E-DE6A-430E-B1F1-AA034379D321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Closure/rehab capex (C$174.8M) in final year, converted to USD</t>
        </r>
      </text>
    </comment>
    <comment ref="Q112" authorId="0" shapeId="0" xr:uid="{81BD732A-D294-4AD3-AF91-B584DAB6E9BD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Remaining pre-production capex (total - already spent), discounted 1 year to reflect mid-construction timing. Update B37 quarterly as more capex is spent.</t>
        </r>
      </text>
    </comment>
    <comment ref="Q113" authorId="0" shapeId="0" xr:uid="{1173C584-1116-4943-86EF-D1931294C6F8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Pre-production working capital (C$43.3M initial ore stockpile) converted to USD and discounted 1 year, same timing as pre-prod capex.</t>
        </r>
      </text>
    </comment>
    <comment ref="Q115" authorId="0" shapeId="0" xr:uid="{BBA05957-CB0B-4C8E-91AD-7346A1A6D2C6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Buyback cost discounted 1 year (paid at project completion ~mid-2027). Only applies when Gold Stream Scenario = "Buyback".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Tsuji, Kyle</author>
  </authors>
  <commentList>
    <comment ref="C6" authorId="0" shapeId="0" xr:uid="{889AC16E-89AB-446E-9D2F-6438AC7486A1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USD share price converted to CAD for comparison with CAD-denominated comps output</t>
        </r>
      </text>
    </comment>
    <comment ref="K11" authorId="0" shapeId="0" xr:uid="{11C90CC8-01C7-42F9-B51E-615C3381F76B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According to CG Feb 23, 2026
</t>
        </r>
      </text>
    </comment>
    <comment ref="K12" authorId="0" shapeId="0" xr:uid="{E913883F-DA48-45EB-BCD8-7DBD1E402164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According to ATB Feb 20, 2026
</t>
        </r>
      </text>
    </comment>
    <comment ref="K13" authorId="0" shapeId="0" xr:uid="{D181512A-FD07-41AB-B6EC-547B9FF298FD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According to RBC Feb 2, 2026
</t>
        </r>
      </text>
    </comment>
    <comment ref="K14" authorId="0" shapeId="0" xr:uid="{177A581E-CBE5-43AF-A0A8-880252EDB506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According to RBC Feb 2, 2026</t>
        </r>
      </text>
    </comment>
    <comment ref="K15" authorId="0" shapeId="0" xr:uid="{47E52440-38A9-4AE7-86BE-CBD82A2AC20F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According to RBC Feb 2, 2026
</t>
        </r>
      </text>
    </comment>
    <comment ref="K16" authorId="0" shapeId="0" xr:uid="{753FFCE1-7EAE-4D5F-A5F5-3E470CD0F8AA}">
      <text>
        <r>
          <rPr>
            <b/>
            <sz val="9"/>
            <color indexed="81"/>
            <rFont val="Tahoma"/>
            <charset val="1"/>
          </rPr>
          <t>Tsuji, Kyle:</t>
        </r>
        <r>
          <rPr>
            <sz val="9"/>
            <color indexed="81"/>
            <rFont val="Tahoma"/>
            <charset val="1"/>
          </rPr>
          <t xml:space="preserve">
According to RBC Feb 2, 2026
</t>
        </r>
      </text>
    </comment>
    <comment ref="E18" authorId="0" shapeId="0" xr:uid="{2D58BCB0-5A49-41A6-AE4A-38128343B29F}">
      <text>
        <r>
          <rPr>
            <b/>
            <sz val="9"/>
            <color indexed="81"/>
            <rFont val="Tahoma"/>
            <family val="2"/>
          </rPr>
          <t>TSX share price in CAD</t>
        </r>
      </text>
    </comment>
    <comment ref="F18" authorId="0" shapeId="0" xr:uid="{FBCBF328-FE0D-4CED-826E-639A4D923E90}">
      <text>
        <r>
          <rPr>
            <b/>
            <sz val="9"/>
            <color indexed="81"/>
            <rFont val="Tahoma"/>
            <family val="2"/>
          </rPr>
          <t>Market cap in CAD (C$mm)</t>
        </r>
      </text>
    </comment>
    <comment ref="G18" authorId="0" shapeId="0" xr:uid="{B3507D22-12AC-4057-B214-939568568D5E}">
      <text>
        <r>
          <rPr>
            <b/>
            <sz val="9"/>
            <color indexed="81"/>
            <rFont val="Tahoma"/>
            <family val="2"/>
          </rPr>
          <t>EV in CAD (C$mm)</t>
        </r>
      </text>
    </comment>
    <comment ref="K18" authorId="0" shapeId="0" xr:uid="{BE00008A-242C-4BE6-9308-FB1FCC31434D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USD NAV converted to CAD using FX rate from NAV Model!C25. All Skeena figures on this sheet are in CAD to match TSX listing.</t>
        </r>
      </text>
    </comment>
    <comment ref="M18" authorId="0" shapeId="0" xr:uid="{0A5AD796-503B-4BFE-B22C-1DE7E5CAC346}">
      <text>
        <r>
          <rPr>
            <b/>
            <sz val="9"/>
            <color indexed="81"/>
            <rFont val="Tahoma"/>
            <family val="2"/>
          </rPr>
          <t>2027E EBITDA in CAD (C$mm)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Tsuji, Kyle</author>
  </authors>
  <commentList>
    <comment ref="D6" authorId="0" shapeId="0" xr:uid="{C5032419-43EE-446F-AA5B-5EC070FCD697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USD share price converted to CAD for comparison with CAD-denominated PTA output</t>
        </r>
      </text>
    </comment>
    <comment ref="F15" authorId="0" shapeId="0" xr:uid="{FA910034-5139-42D4-AD3A-E1B63A69DDDD}">
      <text>
        <r>
          <rPr>
            <b/>
            <sz val="9"/>
            <color indexed="81"/>
            <rFont val="Tahoma"/>
            <family val="2"/>
          </rPr>
          <t>TSX share price in CAD</t>
        </r>
      </text>
    </comment>
    <comment ref="G15" authorId="0" shapeId="0" xr:uid="{19BDE9A5-3CC5-48D5-B6E2-9AC7DA7908B7}">
      <text>
        <r>
          <rPr>
            <b/>
            <sz val="9"/>
            <color indexed="81"/>
            <rFont val="Tahoma"/>
            <family val="2"/>
          </rPr>
          <t>Market cap in CAD (C$mm)</t>
        </r>
      </text>
    </comment>
    <comment ref="H15" authorId="0" shapeId="0" xr:uid="{207A0164-86F4-446C-80ED-09D80B40D57A}">
      <text>
        <r>
          <rPr>
            <b/>
            <sz val="9"/>
            <color indexed="81"/>
            <rFont val="Tahoma"/>
            <family val="2"/>
          </rPr>
          <t>EV in CAD (C$mm)</t>
        </r>
      </text>
    </comment>
    <comment ref="J15" authorId="0" shapeId="0" xr:uid="{7DC504C0-04AB-4C33-B65D-24D88B0A188B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CAD market cap / CAD NAV for consistent P/NAV ratio</t>
        </r>
      </text>
    </comment>
    <comment ref="I23" authorId="0" shapeId="0" xr:uid="{FABC8C27-31AD-410E-9017-E30E5DCCD889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Premium applied to USD-converted share price</t>
        </r>
      </text>
    </comment>
    <comment ref="J23" authorId="0" shapeId="0" xr:uid="{FA63D2F6-8DF2-4E25-B8CF-1CB5EF926B5E}">
      <text>
        <r>
          <rPr>
            <b/>
            <sz val="9"/>
            <color indexed="81"/>
            <rFont val="Tahoma"/>
            <family val="2"/>
          </rPr>
          <t>Comp P/NAV × CAD NAV/share. Output in CAD.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Tsuji, Kyle</author>
  </authors>
  <commentList>
    <comment ref="D48" authorId="0" shapeId="0" xr:uid="{643EB3D5-6941-4A07-B7A7-9437A6859284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US$1,700/oz — Used for Mineral Resources (Table 1-1).
The resource estimate uses a lower gold price to define the pit shell that constrains which material is classified as a resource. This is deliberately conservative — CIM standards require that resource pit shells use a price reflecting a reasonable long-term assumption, ensuring the resource is not overstated by including material only economic at elevated prices.
The 0.7 g/t AuEq cutoff in E42 is calculated using this price.
Note: Reserves (Table 1-3) use a separate, higher price of US$1,800/oz — see note on E43.</t>
        </r>
      </text>
    </comment>
    <comment ref="D52" authorId="0" shapeId="0" xr:uid="{88D4B3AC-E838-46F0-A5E9-DD01339A92EB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Resource cutoff of 0.7 g/t AuEq calculated at US$1,700/oz Au (E38), US$23/oz Ag (E39), with recoveries of 84% Au (E40) and 88% Ag (E41).
This defines the pit shell for Mineral Resources (Table 1-1). See E38 note for detail on why $1,700 vs. the $1,800 used for reserves.</t>
        </r>
      </text>
    </comment>
    <comment ref="D53" authorId="0" shapeId="0" xr:uid="{23A0F41E-80E6-4733-8B9A-48808CA33780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Reserve NSR cutoff of C$24.45/t is calculated using US$1,800/oz Au (not the US$1,700/oz used for resources).
US$1,800/oz — Used for Mineral Reserves (Table 1-3).
The reserve estimate uses a slightly higher price because reserves represent material that is economically mineable with reasonable certainty based on current or near-term market conditions.
Reserves are a subset of resources — the resource is first defined at $1,700/oz, then more detailed economic analysis at $1,800/oz determines what portion qualifies as a reserve.
This distinction matters for the G43 re-rating formula, which scales the NSR cutoff using the blended AuEq revenue ratio rather than just the resource gold price.</t>
        </r>
      </text>
    </comment>
    <comment ref="B60" authorId="0" shapeId="0" xr:uid="{3898A273-1DD2-4631-94BD-A0E413160766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Resource cutoff of 0.7 g/t AuEq is based on US$1,700/oz Au, US$23/oz Ag, with 84% Au and 88% Ag recoveries.
This is a lower gold price than the US$1,800/oz used for reserves (Table 1-3) — CIM standards require conservative long-term pricing for resource pit shells.</t>
        </r>
      </text>
    </comment>
    <comment ref="B74" authorId="0" shapeId="0" xr:uid="{327E0524-F0F8-4124-A845-C9242453B408}">
      <text>
        <r>
          <rPr>
            <b/>
            <sz val="9"/>
            <color indexed="81"/>
            <rFont val="Tahoma"/>
            <family val="2"/>
          </rPr>
          <t>Tsuji, Kyle:</t>
        </r>
        <r>
          <rPr>
            <sz val="9"/>
            <color indexed="81"/>
            <rFont val="Tahoma"/>
            <family val="2"/>
          </rPr>
          <t xml:space="preserve">
Reserve NSR cutoff of C$24.45/t is based on US$1,800/oz Au (not the US$1,700 used for resources).
Reserves use a slightly higher price because they represent material economically mineable under current/near-term conditions. Reserves are a subset of resources — the resource is first defined at $1,700, then economic analysis at $1,800 determines the reserve portion.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<sst xmlns="http://schemas.openxmlformats.org/spreadsheetml/2006/main" count="982" uniqueCount="629">
  <si>
    <t>All figures in USD millions unless otherwise stated</t>
  </si>
  <si>
    <t>KEY OUTPUTS</t>
  </si>
  <si>
    <t>P/NAV Multiple</t>
  </si>
  <si>
    <t>Mine Life (Years)</t>
  </si>
  <si>
    <t>Total LOM Production (koz)</t>
  </si>
  <si>
    <t>KEY ASSUMPTIONS</t>
  </si>
  <si>
    <t>Discount Rate (WACC)</t>
  </si>
  <si>
    <t>Royalty Rate (%)</t>
  </si>
  <si>
    <t>Corporate Tax Rate (%)</t>
  </si>
  <si>
    <t>Shares Outstanding (mm)</t>
  </si>
  <si>
    <t>Depreciation Method</t>
  </si>
  <si>
    <t>RESERVE &amp; RESOURCE SUMMARY</t>
  </si>
  <si>
    <t>Category</t>
  </si>
  <si>
    <t>Grade (g/t Au)</t>
  </si>
  <si>
    <t>Contained (koz)</t>
  </si>
  <si>
    <t>Proven Reserves</t>
  </si>
  <si>
    <t>Probable Reserves</t>
  </si>
  <si>
    <t>Total P&amp;P Reserves</t>
  </si>
  <si>
    <t>M&amp;I Resources (incl. Reserves)</t>
  </si>
  <si>
    <t>Inferred Resources</t>
  </si>
  <si>
    <t>PRODUCTION PROFILE</t>
  </si>
  <si>
    <t>Units</t>
  </si>
  <si>
    <t>Total / Avg</t>
  </si>
  <si>
    <t>LOM Avg</t>
  </si>
  <si>
    <t>Ore Milled</t>
  </si>
  <si>
    <t>Mt</t>
  </si>
  <si>
    <t>Head Grade</t>
  </si>
  <si>
    <t>g/t Au</t>
  </si>
  <si>
    <t>Recovery Rate</t>
  </si>
  <si>
    <t>%</t>
  </si>
  <si>
    <t>Gold Produced</t>
  </si>
  <si>
    <t>oz</t>
  </si>
  <si>
    <t>REVENUE</t>
  </si>
  <si>
    <t>Gold Price</t>
  </si>
  <si>
    <t>Gross Revenue</t>
  </si>
  <si>
    <t>$ mm</t>
  </si>
  <si>
    <t>Royalty</t>
  </si>
  <si>
    <t>OPERATING COSTS</t>
  </si>
  <si>
    <t>Mining Cost</t>
  </si>
  <si>
    <t>Processing Cost</t>
  </si>
  <si>
    <t>Total Cash Cost</t>
  </si>
  <si>
    <t>Total Opex</t>
  </si>
  <si>
    <t>Cash Margin</t>
  </si>
  <si>
    <t>CAPITAL EXPENDITURE</t>
  </si>
  <si>
    <t>Sustaining Capex</t>
  </si>
  <si>
    <t>Growth / Expansion Capex</t>
  </si>
  <si>
    <t>Closure / Rehab Capex</t>
  </si>
  <si>
    <t>Total Capex</t>
  </si>
  <si>
    <t>TAX &amp; DEPRECIATION</t>
  </si>
  <si>
    <t>EBITDA</t>
  </si>
  <si>
    <t>Effective Tax Rate</t>
  </si>
  <si>
    <t>FREE CASH FLOW &amp; NAV</t>
  </si>
  <si>
    <t>Unlevered FCF</t>
  </si>
  <si>
    <t>Discount Factor</t>
  </si>
  <si>
    <t>x</t>
  </si>
  <si>
    <t>Discounted FCF</t>
  </si>
  <si>
    <t>Sum of Discounted FCFs</t>
  </si>
  <si>
    <t>Plus: Salvage Value (PV)</t>
  </si>
  <si>
    <t>SENSITIVITY ANALYSIS: NAV/SHARE ($)</t>
  </si>
  <si>
    <t>Disc. Rate ↓</t>
  </si>
  <si>
    <t>NOTES &amp; LEGEND</t>
  </si>
  <si>
    <t>Blue text = User input (populate from technical report)</t>
  </si>
  <si>
    <t>Black text = Formula / calculated field</t>
  </si>
  <si>
    <t>Yellow highlight = Base case in sensitivity table</t>
  </si>
  <si>
    <t>Green background = Summary / total rows</t>
  </si>
  <si>
    <t>Net Revenue</t>
  </si>
  <si>
    <t>AISC per oz</t>
  </si>
  <si>
    <t>MINERAL RESERVE &amp; RESOURCE STATEMENT</t>
  </si>
  <si>
    <t>LIFE OF MINE PRODUCTION SCHEDULE</t>
  </si>
  <si>
    <t>OPERATING COST ESTIMATES</t>
  </si>
  <si>
    <t>Paste the LOM operating cost breakdown from the technical report below (Section 21)</t>
  </si>
  <si>
    <t>CAPITAL COST ESTIMATES</t>
  </si>
  <si>
    <t>Paste the capex schedule from the technical report below (Section 21)</t>
  </si>
  <si>
    <t>ECONOMIC &amp; FISCAL ASSUMPTIONS</t>
  </si>
  <si>
    <t>Description</t>
  </si>
  <si>
    <t>Initial (C$M)</t>
  </si>
  <si>
    <t>Sustaining (C$M)</t>
  </si>
  <si>
    <t>Expansion (C$M)</t>
  </si>
  <si>
    <t>Closure (C$M)</t>
  </si>
  <si>
    <t>Mining</t>
  </si>
  <si>
    <t>—</t>
  </si>
  <si>
    <t>Ore Crushing and Reclaim</t>
  </si>
  <si>
    <t>Process Plant</t>
  </si>
  <si>
    <t>Tailings Reclaim and Water Treatment</t>
  </si>
  <si>
    <t>On-Site Infrastructure</t>
  </si>
  <si>
    <t>Off-Site Infrastructure</t>
  </si>
  <si>
    <t>Owner's Costs</t>
  </si>
  <si>
    <t>Indirect Costs</t>
  </si>
  <si>
    <t>Subtotal</t>
  </si>
  <si>
    <t>Contingency</t>
  </si>
  <si>
    <t>Closure</t>
  </si>
  <si>
    <t>Total</t>
  </si>
  <si>
    <t>USD/CAD Exchange Rate</t>
  </si>
  <si>
    <t>Initial (Years 1–5)</t>
  </si>
  <si>
    <t>Expansion (Year 6+)</t>
  </si>
  <si>
    <t>LOM Total</t>
  </si>
  <si>
    <t>Cost Category</t>
  </si>
  <si>
    <t>C$M</t>
  </si>
  <si>
    <t>C$/t milled</t>
  </si>
  <si>
    <t>C$M/a</t>
  </si>
  <si>
    <t>Processing</t>
  </si>
  <si>
    <t>G&amp;A</t>
  </si>
  <si>
    <t>Note: Costs are in C$/t milled from the technical report. Convert to USD/oz for the NAV model using the FX rate and production schedule.</t>
  </si>
  <si>
    <t>Tonnes (000)</t>
  </si>
  <si>
    <t>AuEq (g/t)</t>
  </si>
  <si>
    <t>Au (g/t)</t>
  </si>
  <si>
    <t>Ag (g/t)</t>
  </si>
  <si>
    <t>AuEq Oz (000)</t>
  </si>
  <si>
    <t>Au Oz (000)</t>
  </si>
  <si>
    <t>Ag Oz (000)</t>
  </si>
  <si>
    <t>Measured</t>
  </si>
  <si>
    <t>Indicated</t>
  </si>
  <si>
    <t>Total Measured + Indicated</t>
  </si>
  <si>
    <t>Inferred</t>
  </si>
  <si>
    <t>Silver:Gold Ratio</t>
  </si>
  <si>
    <t>Silver Grade</t>
  </si>
  <si>
    <t>g/t Ag</t>
  </si>
  <si>
    <t>Silver Recovery</t>
  </si>
  <si>
    <t>Silver Produced</t>
  </si>
  <si>
    <t>Less: Silver By-Product Credit</t>
  </si>
  <si>
    <t>MINERAL RESERVE STATEMENT</t>
  </si>
  <si>
    <t>Proven</t>
  </si>
  <si>
    <t>Probable</t>
  </si>
  <si>
    <t>Total Proven + Probable</t>
  </si>
  <si>
    <t>Source: Technical Report, Section 14-15</t>
  </si>
  <si>
    <t>Source: Eskay Creek NI 43-101 Updated Feasibility Study, Table 16-3, December 22, 2023</t>
  </si>
  <si>
    <t>MINING SUMMARY</t>
  </si>
  <si>
    <t>Y-3</t>
  </si>
  <si>
    <t>Y-2</t>
  </si>
  <si>
    <t>Y-1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</si>
  <si>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</si>
  <si>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</si>
  <si>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</si>
  <si>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</si>
  <si>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</si>
  <si>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</si>
  <si>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</si>
  <si>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</si>
  <si>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</si>
  <si>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</si>
  <si>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</si>
  <si>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</si>
  <si>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NAG Waste</t>
  </si>
  <si>
    <t>PAG Waste</t>
  </si>
  <si>
    <t>Mined Waste</t>
  </si>
  <si>
    <t>Mined Ore</t>
  </si>
  <si>
    <t xml:space="preserve">  Au Grade</t>
  </si>
  <si>
    <t>g/t</t>
  </si>
  <si>
    <t xml:space="preserve">  Ag Grade</t>
  </si>
  <si>
    <t>Total Mined</t>
  </si>
  <si>
    <t>PROCESSED MATERIAL (MILL FEED)</t>
  </si>
  <si>
    <t>Mill Feed</t>
  </si>
  <si>
    <t>STOCKPILE &amp; MATERIAL MOVEMENT</t>
  </si>
  <si>
    <t>Medium Grade</t>
  </si>
  <si>
    <t>Low Grade</t>
  </si>
  <si>
    <t>Total Stockpile Balance</t>
  </si>
  <si>
    <t>Total Stockpile Reclaim</t>
  </si>
  <si>
    <t>Total Material Movement</t>
  </si>
  <si>
    <t>Source: Eskay Creek NI 43-101 Updated Feasibility Study, December 22, 2023</t>
  </si>
  <si>
    <t>BASE CASE ASSUMPTIONS</t>
  </si>
  <si>
    <t>Parameter</t>
  </si>
  <si>
    <t>Value</t>
  </si>
  <si>
    <t>US$/oz</t>
  </si>
  <si>
    <t>Silver Price</t>
  </si>
  <si>
    <t>Exchange Rate (US$/C$)</t>
  </si>
  <si>
    <t>US$/C$</t>
  </si>
  <si>
    <t>Discount Rate</t>
  </si>
  <si>
    <t>Royalty (NSR)</t>
  </si>
  <si>
    <t>Strip Ratio (waste:ore)</t>
  </si>
  <si>
    <t>7.98:1</t>
  </si>
  <si>
    <t>PRODUCTION &amp; METALLURGY</t>
  </si>
  <si>
    <t>Processing Life</t>
  </si>
  <si>
    <t>years</t>
  </si>
  <si>
    <t>Throughput (Years 1–5)</t>
  </si>
  <si>
    <t>Mtpa</t>
  </si>
  <si>
    <t>Throughput (Years 6–12)</t>
  </si>
  <si>
    <t>Avg Diluted Au Grade</t>
  </si>
  <si>
    <t>Avg Diluted Ag Grade</t>
  </si>
  <si>
    <t>Gold Recovery (to concentrate)</t>
  </si>
  <si>
    <t>Silver Recovery (to concentrate)</t>
  </si>
  <si>
    <t>LOM Gold Production</t>
  </si>
  <si>
    <t>koz</t>
  </si>
  <si>
    <t>LOM Silver Production</t>
  </si>
  <si>
    <t>LOM AuEq Production</t>
  </si>
  <si>
    <t>LOM Avg Annual Au Production</t>
  </si>
  <si>
    <t>koz/yr</t>
  </si>
  <si>
    <t>LOM Avg Annual AuEq Production</t>
  </si>
  <si>
    <t>CAPITAL EXPENDITURES</t>
  </si>
  <si>
    <t>Pre-Production Capex</t>
  </si>
  <si>
    <t>Expansion Capex</t>
  </si>
  <si>
    <t>Closure Costs</t>
  </si>
  <si>
    <t>CASH FLOW STATEMENT</t>
  </si>
  <si>
    <t>(expressed in thousands of Canadian dollars)</t>
  </si>
  <si>
    <t>OPERATING ACTIVITIES</t>
  </si>
  <si>
    <t>Loss for the year</t>
  </si>
  <si>
    <t xml:space="preserve">  Accretion</t>
  </si>
  <si>
    <t xml:space="preserve">  Change in FV of convertible debenture</t>
  </si>
  <si>
    <t xml:space="preserve">  Change in FV of derivative liability</t>
  </si>
  <si>
    <t xml:space="preserve">  Depreciation</t>
  </si>
  <si>
    <t xml:space="preserve">  E&amp;E expenses capitalized</t>
  </si>
  <si>
    <t xml:space="preserve">  Flow-through share premium recovery</t>
  </si>
  <si>
    <t xml:space="preserve">  Share-based payments</t>
  </si>
  <si>
    <t xml:space="preserve">  Other non-cash items</t>
  </si>
  <si>
    <t xml:space="preserve">  Changes in working capital</t>
  </si>
  <si>
    <t>Net cash used in operating activities</t>
  </si>
  <si>
    <t>INVESTING ACTIVITIES</t>
  </si>
  <si>
    <t>Proceeds from sale of marketable securities</t>
  </si>
  <si>
    <t>Deposits paid</t>
  </si>
  <si>
    <t>Exploration and evaluation expenditures</t>
  </si>
  <si>
    <t>Net proceeds from sale of NSR</t>
  </si>
  <si>
    <t>Additions to mineral property, PP&amp;E</t>
  </si>
  <si>
    <t>Other investing activities</t>
  </si>
  <si>
    <t>Net cash provided by (used in) investing</t>
  </si>
  <si>
    <t>FINANCING ACTIVITIES</t>
  </si>
  <si>
    <t>Lease payments</t>
  </si>
  <si>
    <t>Repayment of convertible debenture</t>
  </si>
  <si>
    <t>Proceeds from Gold Stream</t>
  </si>
  <si>
    <t>Equity proceeds (placements, options, warrants)</t>
  </si>
  <si>
    <t>Share issue costs &amp; other</t>
  </si>
  <si>
    <t>Net cash provided by financing</t>
  </si>
  <si>
    <t>Effect of FX on cash</t>
  </si>
  <si>
    <t>Change in cash during the year</t>
  </si>
  <si>
    <t>Cash, beginning of year</t>
  </si>
  <si>
    <t>Cash, end of year</t>
  </si>
  <si>
    <t>CONSOLIDATED STATEMENTS OF LOSS AND COMPREHENSIVE LOSS</t>
  </si>
  <si>
    <t>(expressed in thousands of Canadian dollars, except per share amounts)</t>
  </si>
  <si>
    <t>Accretion</t>
  </si>
  <si>
    <t>Administrative compensation</t>
  </si>
  <si>
    <t>Change in FV of convertible debenture</t>
  </si>
  <si>
    <t>Change in FV of derivative liability</t>
  </si>
  <si>
    <t>Communications</t>
  </si>
  <si>
    <t>Consulting</t>
  </si>
  <si>
    <t>Depreciation</t>
  </si>
  <si>
    <t>Exploration and evaluation</t>
  </si>
  <si>
    <t>Flow-through share premium recovery</t>
  </si>
  <si>
    <t>Interest income</t>
  </si>
  <si>
    <t>Share-based payments</t>
  </si>
  <si>
    <t>Other expenses (net)</t>
  </si>
  <si>
    <t>Loss before income tax</t>
  </si>
  <si>
    <t>Income tax recovery</t>
  </si>
  <si>
    <t>Loss per share – basic &amp; diluted</t>
  </si>
  <si>
    <t>Wtd avg shares outstanding</t>
  </si>
  <si>
    <t>CONSOLIDATED STATEMENTS OF FINANCIAL POSITION</t>
  </si>
  <si>
    <t>ASSETS</t>
  </si>
  <si>
    <t>Cash and cash equivalents</t>
  </si>
  <si>
    <t>Marketable securities</t>
  </si>
  <si>
    <t>Receivables</t>
  </si>
  <si>
    <t>Other current assets</t>
  </si>
  <si>
    <t>Total current assets</t>
  </si>
  <si>
    <t>Deposits</t>
  </si>
  <si>
    <t>Exploration and evaluation interests</t>
  </si>
  <si>
    <t>Mineral property, plant and equipment</t>
  </si>
  <si>
    <t>Other non-current assets</t>
  </si>
  <si>
    <t>Total assets</t>
  </si>
  <si>
    <t>LIABILITIES</t>
  </si>
  <si>
    <t>Accounts payable and accrued liabilities</t>
  </si>
  <si>
    <t>Current portion of lease liabilities</t>
  </si>
  <si>
    <t>Flow-through share premium liability</t>
  </si>
  <si>
    <t>Other current liabilities</t>
  </si>
  <si>
    <t>Total current liabilities</t>
  </si>
  <si>
    <t>Lease liabilities (non-current)</t>
  </si>
  <si>
    <t>Derivative liability (Gold Stream)</t>
  </si>
  <si>
    <t>Provision for closure and reclamation</t>
  </si>
  <si>
    <t>Other non-current liabilities</t>
  </si>
  <si>
    <t>Total liabilities</t>
  </si>
  <si>
    <t>SHAREHOLDERS' EQUITY</t>
  </si>
  <si>
    <t>Capital stock</t>
  </si>
  <si>
    <t>Commitment to issue shares</t>
  </si>
  <si>
    <t>Reserves</t>
  </si>
  <si>
    <t>Deficit</t>
  </si>
  <si>
    <t>Total shareholders' equity</t>
  </si>
  <si>
    <t>Total liabilities and equity</t>
  </si>
  <si>
    <t xml:space="preserve"> </t>
  </si>
  <si>
    <t>Technical Report Link</t>
  </si>
  <si>
    <t>G&amp;A &amp; Water Treatment</t>
  </si>
  <si>
    <t>Units-of-Production</t>
  </si>
  <si>
    <t>Depreciation (UoP)</t>
  </si>
  <si>
    <t>COMMODITY PRICE SCENARIOS</t>
  </si>
  <si>
    <t>Toggle scenario on NAV Model sheet (cell B14)</t>
  </si>
  <si>
    <t>Bear</t>
  </si>
  <si>
    <t>Base</t>
  </si>
  <si>
    <t>Bull</t>
  </si>
  <si>
    <t>Year</t>
  </si>
  <si>
    <t>Period</t>
  </si>
  <si>
    <t>Near-term</t>
  </si>
  <si>
    <t>2030+</t>
  </si>
  <si>
    <t>Long-term</t>
  </si>
  <si>
    <t>▶ Price Scenario</t>
  </si>
  <si>
    <t>▶ Price Scenario (B15) = Dropdown toggle — Bear / Base / Bull. Prices set in Economic Assumptions sheet.</t>
  </si>
  <si>
    <t>SOURCES</t>
  </si>
  <si>
    <t>BMO Capital Markets, as of December 15, 2025</t>
  </si>
  <si>
    <t>CIBC Capital Markets, as of February 2, 2026</t>
  </si>
  <si>
    <t>ESKAY CREEK — NAV MODEL</t>
  </si>
  <si>
    <t>ESKAY CREEK</t>
  </si>
  <si>
    <t>Net Asset Value Model</t>
  </si>
  <si>
    <t>Last Updated</t>
  </si>
  <si>
    <t>← Update this date when refreshing inputs</t>
  </si>
  <si>
    <t>Prepared By</t>
  </si>
  <si>
    <t>Model Version</t>
  </si>
  <si>
    <t>INPUTS TO UPDATE PERIODICALLY</t>
  </si>
  <si>
    <t>Input</t>
  </si>
  <si>
    <t>Current Value</t>
  </si>
  <si>
    <t>Source / Where to Find</t>
  </si>
  <si>
    <t>MARKET DATA</t>
  </si>
  <si>
    <t>Yahoo Finance / Bloomberg</t>
  </si>
  <si>
    <t>Latest quarterly filing (MD&amp;A)</t>
  </si>
  <si>
    <t>Bank of Canada / xe.com</t>
  </si>
  <si>
    <t>BALANCE SHEET DATA</t>
  </si>
  <si>
    <t>Cash &amp; Equivalents (C$ 000s)</t>
  </si>
  <si>
    <t>Quarterly financial statements</t>
  </si>
  <si>
    <t>Lease Liabilities — Current (C$ 000s)</t>
  </si>
  <si>
    <t>LOM average annual silver production (koz)</t>
  </si>
  <si>
    <t>Lease Liabilities — Non-current (C$ 000s)</t>
  </si>
  <si>
    <t>Gold Stream Derivative (C$ 000s)</t>
  </si>
  <si>
    <t>Auto-calculated from above</t>
  </si>
  <si>
    <t>Active Scenario</t>
  </si>
  <si>
    <t>Change via dropdown on NAV Model!B15</t>
  </si>
  <si>
    <t>Gold &amp; Silver Price Assumptions</t>
  </si>
  <si>
    <t>See table →</t>
  </si>
  <si>
    <t>Edit on Economic Assumptions (E4:I17)</t>
  </si>
  <si>
    <t>MODEL ASSUMPTIONS (change less frequently)</t>
  </si>
  <si>
    <t>Royalty Rate (NSR)</t>
  </si>
  <si>
    <t>Technical report / royalty agreements</t>
  </si>
  <si>
    <t>Corporate Tax Rate</t>
  </si>
  <si>
    <t>Units-of-Production recommended</t>
  </si>
  <si>
    <t>Pre-prod capex from technical report</t>
  </si>
  <si>
    <t>Technical report / updated estimates</t>
  </si>
  <si>
    <t>NAV SUMMARY</t>
  </si>
  <si>
    <t>LOM Gold Production (koz)</t>
  </si>
  <si>
    <t>PERIODIC UPDATE CHECKLIST</t>
  </si>
  <si>
    <t>Frequency</t>
  </si>
  <si>
    <t>Action</t>
  </si>
  <si>
    <t>Location</t>
  </si>
  <si>
    <t>Daily / Weekly</t>
  </si>
  <si>
    <t>Update share price</t>
  </si>
  <si>
    <t>NAV Model → B8</t>
  </si>
  <si>
    <t>Update USD/CAD exchange rate</t>
  </si>
  <si>
    <t>NAV Model → B25</t>
  </si>
  <si>
    <t>Quarterly</t>
  </si>
  <si>
    <t>Update Balance Sheet (cash, leases, Gold Stream)</t>
  </si>
  <si>
    <t>Balance Sheet → Column B</t>
  </si>
  <si>
    <t>Update shares outstanding (check for dilution)</t>
  </si>
  <si>
    <t>NAV Model → B29</t>
  </si>
  <si>
    <t>As Needed</t>
  </si>
  <si>
    <t>Refresh commodity price scenarios (Bear/Base/Bull)</t>
  </si>
  <si>
    <t>Economic Assumptions → E4:I17</t>
  </si>
  <si>
    <t>Update "Last Updated" date on this page</t>
  </si>
  <si>
    <t>Cover Page → C7</t>
  </si>
  <si>
    <t>Technical report</t>
  </si>
  <si>
    <t>Kyle Tsuji</t>
  </si>
  <si>
    <t>Less: Net Debt (Plus: Net Cash)</t>
  </si>
  <si>
    <t>Technical report / BC mining tax + federal rate</t>
  </si>
  <si>
    <t xml:space="preserve">  → Federal Income Tax</t>
  </si>
  <si>
    <t xml:space="preserve">  → Provincial Income Tax (BC)</t>
  </si>
  <si>
    <t>BC MINERAL TAX</t>
  </si>
  <si>
    <t xml:space="preserve">  NCP Base (Net Rev − Opex)</t>
  </si>
  <si>
    <t xml:space="preserve">  NCP Tax (2%)</t>
  </si>
  <si>
    <t xml:space="preserve">  NRT Base (NCP Base − Depr.)</t>
  </si>
  <si>
    <t xml:space="preserve">  NRT Tax (13%)</t>
  </si>
  <si>
    <t xml:space="preserve">  BC Mineral Tax (higher of NCP / NRT)</t>
  </si>
  <si>
    <t>CORPORATE INCOME TAX</t>
  </si>
  <si>
    <t xml:space="preserve">  Corporate Taxable Income</t>
  </si>
  <si>
    <t xml:space="preserve">  Corporate Income Tax</t>
  </si>
  <si>
    <t>Total Tax Payable</t>
  </si>
  <si>
    <t>Less: Remaining Pre-Prod Capex (PV)</t>
  </si>
  <si>
    <t>Relevance to NAV Model</t>
  </si>
  <si>
    <t>Drives gross gold revenue; key sensitivity variable in NAV</t>
  </si>
  <si>
    <t>Drives silver by-product credits, reducing net cash costs</t>
  </si>
  <si>
    <t>Converts C$ costs to US$ for revenue/cost reconciliation</t>
  </si>
  <si>
    <t>Deducted from gross revenue to arrive at net revenue</t>
  </si>
  <si>
    <t>Impacts mining cost per tonne; higher ratio = more waste moved</t>
  </si>
  <si>
    <t>Determines number of years of cash flows to discount</t>
  </si>
  <si>
    <t>Sets annual ore tonnage in early years → drives revenue timing</t>
  </si>
  <si>
    <t>Sets annual ore tonnage in later years; higher throughput boosts output</t>
  </si>
  <si>
    <t>Multiplied by throughput and recovery to calculate gold ounces produced</t>
  </si>
  <si>
    <t>Multiplied by throughput and recovery to calculate silver ounces produced</t>
  </si>
  <si>
    <t>% of gold in ore recovered to concentrate; directly scales gold output</t>
  </si>
  <si>
    <t>% of silver in ore recovered to concentrate; scales silver by-product credit</t>
  </si>
  <si>
    <t>Total gold ounces over mine life; basis for LOM revenue calculation</t>
  </si>
  <si>
    <t>Total silver ounces over mine life; drives cumulative by-product credits</t>
  </si>
  <si>
    <t>Gold-equivalent total production; used for co-product cost metrics</t>
  </si>
  <si>
    <t>Annual gold output benchmark; revenue run-rate indicator</t>
  </si>
  <si>
    <t>Annual silver output; feeds annual by-product credit calculation</t>
  </si>
  <si>
    <t>Annual AuEq output; used to derive co-product cost per ounce</t>
  </si>
  <si>
    <t>Upfront build cost; deducted from NAV as PV of remaining capex</t>
  </si>
  <si>
    <t>One-time expansion spend; adds to total capex in year incurred</t>
  </si>
  <si>
    <t>Annual maintenance capex; included in AISC and deducted from FCF</t>
  </si>
  <si>
    <t>End-of-life reclamation cost; deducted from final-year FCF</t>
  </si>
  <si>
    <t>Prices updated as of:</t>
  </si>
  <si>
    <t>BC Mineral Tax — NCP (net current proceeds) Rate (%)</t>
  </si>
  <si>
    <t>BC Mineral Tax — NRT (net revenue tax) Rate (%)</t>
  </si>
  <si>
    <t>Less: Initial Working Capital (PV)</t>
  </si>
  <si>
    <t>Grams per Troy Ounce</t>
  </si>
  <si>
    <t>g/oz</t>
  </si>
  <si>
    <t>Converts grade (g/t) × tonnes to troy ounces for contained metal calculations</t>
  </si>
  <si>
    <t>*</t>
  </si>
  <si>
    <t>AISC (excl. Silver Credit)</t>
  </si>
  <si>
    <t>Initial Working Capital</t>
  </si>
  <si>
    <t>Pre-production ore stockpile; deducted from NAV as PV of working capital outflow</t>
  </si>
  <si>
    <t>Skeena Gold &amp; Silver  |  TSX: SKE  |  NYSE: SKE</t>
  </si>
  <si>
    <t>Skeena Gold &amp; Silver | Net Asset Value Analysis</t>
  </si>
  <si>
    <t>Source: Skeena Gold &amp; Silver, Years ended December 31</t>
  </si>
  <si>
    <t>Source: Skeena Gold &amp; Silver</t>
  </si>
  <si>
    <t>Source: Skeena Gold &amp; Silver, Annual Financial Statements, Years ended December 31</t>
  </si>
  <si>
    <t>Additional M&amp;I Ore Milled</t>
  </si>
  <si>
    <t>Additional M&amp;I Conversion</t>
  </si>
  <si>
    <t>Total Ore Milled</t>
  </si>
  <si>
    <t>Conversion %</t>
  </si>
  <si>
    <t>Expansion</t>
  </si>
  <si>
    <t>No</t>
  </si>
  <si>
    <t>EXPANSION THESIS — PRODUCTION UPLIFT</t>
  </si>
  <si>
    <t>Incremental Gold &amp; Silver Production from M&amp;I Resource Expansion</t>
  </si>
  <si>
    <t>Compares base NAV Model production to expanded scenario across LOM</t>
  </si>
  <si>
    <t>GOLD PRODUCTION (oz)</t>
  </si>
  <si>
    <t>Scenario</t>
  </si>
  <si>
    <t>Base Model</t>
  </si>
  <si>
    <t>Incremental Uplift</t>
  </si>
  <si>
    <t>SILVER PRODUCTION (oz)</t>
  </si>
  <si>
    <t>Gold:Silver price ratio</t>
  </si>
  <si>
    <t>Au Produced</t>
  </si>
  <si>
    <t>Ag Produced</t>
  </si>
  <si>
    <t>AuEq Ag Produced</t>
  </si>
  <si>
    <t>AISC (US$/oz AuEq)</t>
  </si>
  <si>
    <t>Annual Production (koz AuEq)</t>
  </si>
  <si>
    <t>CONCENTRATE GRADE SUMMARY</t>
  </si>
  <si>
    <t>Annual &amp; Life-of-Mine Payable / Deleterious Element Grades</t>
  </si>
  <si>
    <t>Status</t>
  </si>
  <si>
    <t>Element</t>
  </si>
  <si>
    <t>Unit</t>
  </si>
  <si>
    <t>Minimum (Annual)</t>
  </si>
  <si>
    <t>Maximum (Annual)</t>
  </si>
  <si>
    <t>Average (LOM)</t>
  </si>
  <si>
    <t>Payable</t>
  </si>
  <si>
    <t>Au</t>
  </si>
  <si>
    <t>Ag</t>
  </si>
  <si>
    <t>Pb</t>
  </si>
  <si>
    <t>Zn</t>
  </si>
  <si>
    <t>Cu</t>
  </si>
  <si>
    <t>Deleterious</t>
  </si>
  <si>
    <t>As</t>
  </si>
  <si>
    <t>Hg</t>
  </si>
  <si>
    <t>Payable / Deleterious</t>
  </si>
  <si>
    <t>Sb</t>
  </si>
  <si>
    <t>Company</t>
  </si>
  <si>
    <t>Ticker</t>
  </si>
  <si>
    <t>Domicile</t>
  </si>
  <si>
    <t>Valuation</t>
  </si>
  <si>
    <t>NAV</t>
  </si>
  <si>
    <t>EV/EBITDA</t>
  </si>
  <si>
    <t>P/NAV</t>
  </si>
  <si>
    <t>2026E</t>
  </si>
  <si>
    <t>2027E</t>
  </si>
  <si>
    <t>Skeena Resources</t>
  </si>
  <si>
    <t>Mean</t>
  </si>
  <si>
    <t>Median</t>
  </si>
  <si>
    <t>Low</t>
  </si>
  <si>
    <t>Bellevue Gold</t>
  </si>
  <si>
    <t>Junior Gold</t>
  </si>
  <si>
    <t>High</t>
  </si>
  <si>
    <t>https://www.torys.com/work/2024/06/75631740-9d8c-4327-adea-365cb4b93607</t>
  </si>
  <si>
    <t>Link for debt breakdown</t>
  </si>
  <si>
    <t>Broker Summary</t>
  </si>
  <si>
    <t>Bank</t>
  </si>
  <si>
    <t>UBS</t>
  </si>
  <si>
    <t>CIBC</t>
  </si>
  <si>
    <t>Raymond James</t>
  </si>
  <si>
    <t>TD</t>
  </si>
  <si>
    <t>Scotiabank</t>
  </si>
  <si>
    <t>Our Target</t>
  </si>
  <si>
    <t>Australia</t>
  </si>
  <si>
    <t>Comps Last Updated</t>
  </si>
  <si>
    <t>DATA FRESHNESS</t>
  </si>
  <si>
    <t>← Update this date when refreshing comps</t>
  </si>
  <si>
    <t>Share Price (LC)</t>
  </si>
  <si>
    <t>← Linked from Comps sheet</t>
  </si>
  <si>
    <t>EBITDA ($mm LC)</t>
  </si>
  <si>
    <t>EV ($mm LC)</t>
  </si>
  <si>
    <t>Market Cap ($mm LC)</t>
  </si>
  <si>
    <t>BGL</t>
  </si>
  <si>
    <t>SKE</t>
  </si>
  <si>
    <t>Canada</t>
  </si>
  <si>
    <t>N/A</t>
  </si>
  <si>
    <t>Implied Upside</t>
  </si>
  <si>
    <t>Current Share Price</t>
  </si>
  <si>
    <t>PRECEDENT TRANSACTIONS ANALYSIS</t>
  </si>
  <si>
    <t>Precedents Last Updated</t>
  </si>
  <si>
    <t>Gold Road Resources</t>
  </si>
  <si>
    <t>Osisko Mining</t>
  </si>
  <si>
    <t>Transaction Date</t>
  </si>
  <si>
    <t>De Grey Mining</t>
  </si>
  <si>
    <t>Premium to Last Close (%)</t>
  </si>
  <si>
    <t>Sep-26-25</t>
  </si>
  <si>
    <t>Target Company</t>
  </si>
  <si>
    <t>Acquirer</t>
  </si>
  <si>
    <t>Gold Fields Limited</t>
  </si>
  <si>
    <t>Northern Star Resources</t>
  </si>
  <si>
    <t>Pretium Resources</t>
  </si>
  <si>
    <t xml:space="preserve">Newcrest Mining </t>
  </si>
  <si>
    <t>Valuation Summary</t>
  </si>
  <si>
    <t>Valuation Method</t>
  </si>
  <si>
    <t>Weight</t>
  </si>
  <si>
    <t>Comps: P/NAV</t>
  </si>
  <si>
    <t>Precedents: P/NAV</t>
  </si>
  <si>
    <t>Analyst Targets</t>
  </si>
  <si>
    <t>Analyst Target</t>
  </si>
  <si>
    <t>Difference</t>
  </si>
  <si>
    <t>Total Capex (US$mm)</t>
  </si>
  <si>
    <t>NAV per Share (US$)</t>
  </si>
  <si>
    <t>NAV (US$ mm)</t>
  </si>
  <si>
    <t>Current Share Price (US$)</t>
  </si>
  <si>
    <t>2027 Gold Price (US$/oz)</t>
  </si>
  <si>
    <t>2028 Gold Price (US$/oz)</t>
  </si>
  <si>
    <t>2029 Gold Price (US$/oz)</t>
  </si>
  <si>
    <t>LT Gold Price (US$/oz)</t>
  </si>
  <si>
    <t>2027 Silver Price (US$/oz)</t>
  </si>
  <si>
    <t>2028 Silver Price (US$/oz)</t>
  </si>
  <si>
    <t>2029 Silver Price (US$/oz)</t>
  </si>
  <si>
    <t>LT Silver Price (US$/oz)</t>
  </si>
  <si>
    <t>Net Debt (negative = net cash) (US$ mm)</t>
  </si>
  <si>
    <t>Depreciable Asset Base (US$ mm)</t>
  </si>
  <si>
    <t>Pre-Production Capex (US$ mm)</t>
  </si>
  <si>
    <t xml:space="preserve">  Less: Already Spent (US$ mm)</t>
  </si>
  <si>
    <t>Salvage Value (US$ mm)</t>
  </si>
  <si>
    <t>Closure Cost (US$ mm)</t>
  </si>
  <si>
    <t>Initial Working Capital Adj. (US$ mm)</t>
  </si>
  <si>
    <t>US$ mm</t>
  </si>
  <si>
    <t>US$/oz Au</t>
  </si>
  <si>
    <t>Gold Price (US$) →</t>
  </si>
  <si>
    <t>SENSITIVITY ANALYSIS: NAV/SHARE (US$)</t>
  </si>
  <si>
    <t>Current Share Price (C$)</t>
  </si>
  <si>
    <t>NAV per Share (C$)</t>
  </si>
  <si>
    <t>Share Price (C$)</t>
  </si>
  <si>
    <t>→ Net Debt (negative = net cash) (US$ mm)</t>
  </si>
  <si>
    <t>Implied Value (C$)</t>
  </si>
  <si>
    <t>Low (C$)</t>
  </si>
  <si>
    <t>High (C$)</t>
  </si>
  <si>
    <t>Blended Valuation (C$)</t>
  </si>
  <si>
    <t>Price Target (C$)</t>
  </si>
  <si>
    <t>Total Opex (US$ mm)</t>
  </si>
  <si>
    <t>Implied Valuation (C$)</t>
  </si>
  <si>
    <t>GOLD PRICES (US$/oz)</t>
  </si>
  <si>
    <t>SILVER PRICES (US$/oz)</t>
  </si>
  <si>
    <t>Potential comps</t>
  </si>
  <si>
    <t>G Mining Ventures</t>
  </si>
  <si>
    <t>Lundin Gold</t>
  </si>
  <si>
    <t>K92 Mining</t>
  </si>
  <si>
    <t>Wesdome Gold</t>
  </si>
  <si>
    <t>Rupert Resources</t>
  </si>
  <si>
    <t>yes</t>
  </si>
  <si>
    <t>maybe - BRA jurisdiciton but similar stage</t>
  </si>
  <si>
    <t>Similar mine but alr producing in Ecuador</t>
  </si>
  <si>
    <t>Similar mine but alr producing in PNG</t>
  </si>
  <si>
    <t>2 mines in CAD both producing</t>
  </si>
  <si>
    <t>SELECTED PUBLIC MARKET COMPARABLES ¹</t>
  </si>
  <si>
    <t>¹ The peer set was selected to reflect a balanced mix of development-stage peers and high-grade single-asset producers, providing both a current trading benchmark and a forward-looking re-rating reference as Skeena transitions to production.</t>
  </si>
  <si>
    <t>Development</t>
  </si>
  <si>
    <t>Stage</t>
  </si>
  <si>
    <t>Single-Asset</t>
  </si>
  <si>
    <t>Producers</t>
  </si>
  <si>
    <t>/share (LC)</t>
  </si>
  <si>
    <t>RUP</t>
  </si>
  <si>
    <t>GMIN</t>
  </si>
  <si>
    <t>LUG</t>
  </si>
  <si>
    <t>KNT</t>
  </si>
  <si>
    <t>WDO</t>
  </si>
  <si>
    <t>EXPANSION THESIS — TECHNICAL JUSTIFICATION</t>
  </si>
  <si>
    <t>Cutoff Grade Re-Rating &amp; M&amp;I Conversion Analysis at Spot Commodity Prices</t>
  </si>
  <si>
    <t>CUTOFF GRADE RE-RATING ANALYSIS</t>
  </si>
  <si>
    <t>DFS Assumptions</t>
  </si>
  <si>
    <t>Model Base Case</t>
  </si>
  <si>
    <t>Δ Change</t>
  </si>
  <si>
    <t>Gold Recovery</t>
  </si>
  <si>
    <t>Resource Cutoff Grade</t>
  </si>
  <si>
    <t>g/t AuEq</t>
  </si>
  <si>
    <t>Reserve NSR Cutoff</t>
  </si>
  <si>
    <t>C$/t</t>
  </si>
  <si>
    <t>MINERAL RESOURCES &amp; RESERVES — DFS TABLES (NI 43-101)</t>
  </si>
  <si>
    <t>Table 1-1: Mineral Resources — Open Pit (cutoff: 0.7 g/t AuEq)</t>
  </si>
  <si>
    <t>AuEq koz</t>
  </si>
  <si>
    <t>Au koz</t>
  </si>
  <si>
    <t>Ag koz</t>
  </si>
  <si>
    <t>Total M&amp;I</t>
  </si>
  <si>
    <t>Table 1-2: Mineral Resources — Underground (cutoff: 3.2 g/t AuEq)</t>
  </si>
  <si>
    <t>Table 1-3: Mineral Reserves (NSR cutoff: C$24.45/t)</t>
  </si>
  <si>
    <t>Total P&amp;P</t>
  </si>
  <si>
    <t>Reserve pricing: US$1,800/oz Au, US$23/oz Ag; recoveries: 83% Au, 91% Ag</t>
  </si>
  <si>
    <t>M&amp;I TO P&amp;P CONVERSION GAP ANALYSIS</t>
  </si>
  <si>
    <t>Metric</t>
  </si>
  <si>
    <t>% of M&amp;I</t>
  </si>
  <si>
    <t>Total M&amp;I Resources (Open Pit)</t>
  </si>
  <si>
    <t>Unconverted M&amp;I Gap</t>
  </si>
  <si>
    <t>NSR Cutoff Reduction at Model Prices</t>
  </si>
  <si>
    <t>THESIS DEFENSIBILITY STATEMENT</t>
  </si>
  <si>
    <t>SUPPORTING GRAPHS</t>
  </si>
  <si>
    <t>Converted Tonnes (Cutoff Δ × Gap)</t>
  </si>
  <si>
    <t>Implied M&amp;I Conversion %</t>
  </si>
  <si>
    <t>Key Assumption — Linear Grade-Tonnage:</t>
  </si>
  <si>
    <t>Assumes uniform tonnage across grade bins. In practice, deposits are log-normal (concave) — a cutoff reduction typically captures more</t>
  </si>
  <si>
    <t>tonnage than the linear case but at lower average grade. These biases offset; linear is a reasonable middle ground without block model data.</t>
  </si>
  <si>
    <t>Supporting Arguments:</t>
  </si>
  <si>
    <t>EXPANSION SCENARIO — M&amp;I CONVERSION</t>
  </si>
  <si>
    <t>Total M&amp;I Resources (OP)</t>
  </si>
  <si>
    <t>Existing P&amp;P Reserves</t>
  </si>
  <si>
    <t>(+) Converted M&amp;I</t>
  </si>
  <si>
    <t>New P&amp;P Total</t>
  </si>
  <si>
    <t>Discounted FCF - Base</t>
  </si>
  <si>
    <t>Discounted FCF - Expansion</t>
  </si>
  <si>
    <t>Discounted FCF (US$ mm)</t>
  </si>
  <si>
    <t>% Change</t>
  </si>
  <si>
    <t>52-Week Range</t>
  </si>
  <si>
    <t>Comps: EV/Reserves</t>
  </si>
  <si>
    <t>EV/Reserves</t>
  </si>
  <si>
    <t>EV/Resources</t>
  </si>
  <si>
    <t>Reserves (kozAuEq)</t>
  </si>
  <si>
    <t>Resources (kozAuEq)</t>
  </si>
  <si>
    <t>EV/Materials (LC/kozAuEq)</t>
  </si>
  <si>
    <t>Ignored since materially higher post-production</t>
  </si>
  <si>
    <t>Comps: EV/Resources</t>
  </si>
  <si>
    <t>March 13, 2026</t>
  </si>
  <si>
    <t>Taken as the project discount rate (5%)</t>
  </si>
  <si>
    <t>Average of the two estimates (Au), and NBC Ag estimates as of February 2026</t>
  </si>
  <si>
    <t xml:space="preserve">  Stream Percentage (% of payable gold)</t>
  </si>
  <si>
    <t xml:space="preserve">  Orion Purchase Price (% of spot)</t>
  </si>
  <si>
    <t>Gold Stream Delivery (at spot)</t>
  </si>
  <si>
    <t>Less: Orion Payment Received</t>
  </si>
  <si>
    <t xml:space="preserve">  Gold Stream Scenario</t>
  </si>
  <si>
    <t xml:space="preserve">  Buyback Cost (US$ mm)</t>
  </si>
  <si>
    <t>Less: Gold Stream Buyback Cost (PV)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</si>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</sst>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"/>
    <numFmt numFmtId="165" formatCode="&quot;$&quot;#,##0.00"/>
    <numFmt numFmtId="166" formatCode="0.0%"/>
    <numFmt numFmtId="167" formatCode="0.00\x"/>
    <numFmt numFmtId="168" formatCode="&quot;$&quot;#,##0"/>
    <numFmt numFmtId="169" formatCode="#,##0.0"/>
    <numFmt numFmtId="170" formatCode="0.000"/>
    <numFmt numFmtId="171" formatCode="\(&quot;$&quot;#,##0.0\)"/>
    <numFmt numFmtId="172" formatCode="\(&quot;$&quot;#,##0.0\);\(&quot;$&quot;#,##0.0\);\-"/>
    <numFmt numFmtId="173" formatCode="0.0"/>
    <numFmt numFmtId="174" formatCode="0.0\x"/>
    <numFmt numFmtId="175" formatCode="\(&quot;$&quot;#,##0\)"/>
    <numFmt numFmtId="176" formatCode="#,##0.00;#,##0.00;&quot;-&quot;"/>
    <numFmt numFmtId="177" formatCode="0.0;0.0;&quot;-&quot;"/>
    <numFmt numFmtId="178" formatCode="#,##0;\(#,##0\);&quot;-&quot;"/>
    <numFmt numFmtId="179" formatCode="&quot;$&quot;#,##0.00;\(&quot;$&quot;#,##0.00\);&quot;-&quot;"/>
    <numFmt numFmtId="180" formatCode="#,##0.000"/>
    <numFmt numFmtId="181" formatCode="0.00&quot;x&quot;"/>
    <numFmt numFmtId="182" formatCode="0.0000"/>
    <numFmt numFmtId="183" formatCode="_-[$$-1009]* #,##0.00_-;\-[$$-1009]* #,##0.00_-;_-[$$-1009]* &quot;-&quot;??_-;_-@_-"/>
    <numFmt numFmtId="184" formatCode="mmm\ d\,\ yyyy"/>
    <numFmt numFmtId="185" formatCode="mmm\-dd\-yy"/>
    <numFmt numFmtId="186" formatCode="_-* #,##0.0_-;\-* #,##0.0_-;_-* &quot;-&quot;??_-;_-@_-"/>
    <numFmt numFmtId="187" formatCode="_-* #,##0_-;\-* #,##0_-;_-* &quot;-&quot;??_-;_-@_-"/>
  </numFmts>
  <fonts count="89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mbria"/>
    </font>
    <font>
      <b/>
      <sz val="22"/>
      <color rgb="FF0B1F3B"/>
      <name val="Cambria"/>
    </font>
    <font>
      <sz val="14"/>
      <color rgb="FF546275"/>
      <name val="Cambria"/>
    </font>
    <font>
      <sz val="10"/>
      <color rgb="FF5A6772"/>
      <name val="Cambria"/>
    </font>
    <font>
      <b/>
      <sz val="10"/>
      <color rgb="FF0B1F3B"/>
      <name val="Cambria"/>
    </font>
    <font>
      <b/>
      <sz val="10"/>
      <color rgb="FF0000FF"/>
      <name val="Cambria"/>
    </font>
    <font>
      <i/>
      <sz val="9"/>
      <color rgb="FF5A6772"/>
      <name val="Cambria"/>
    </font>
    <font>
      <sz val="10"/>
      <color rgb="FF0000FF"/>
      <name val="Cambria"/>
    </font>
    <font>
      <b/>
      <sz val="11"/>
      <color rgb="FFFFFFFF"/>
      <name val="Cambria"/>
    </font>
    <font>
      <b/>
      <sz val="9"/>
      <color rgb="FF000000"/>
      <name val="Cambria"/>
    </font>
    <font>
      <b/>
      <sz val="9"/>
      <color theme="1"/>
      <name val="Cambria"/>
    </font>
    <font>
      <b/>
      <sz val="9"/>
      <color rgb="FF3B4B62"/>
      <name val="Cambria"/>
    </font>
    <font>
      <b/>
      <sz val="9"/>
      <color rgb="FF0B1F3B"/>
      <name val="Cambria"/>
    </font>
    <font>
      <b/>
      <sz val="10"/>
      <color theme="1"/>
      <name val="Cambria"/>
    </font>
    <font>
      <sz val="9"/>
      <color theme="1"/>
      <name val="Cambria"/>
    </font>
    <font>
      <sz val="9"/>
      <color rgb="FF008000"/>
      <name val="Cambria"/>
    </font>
    <font>
      <sz val="9"/>
      <color rgb="FF5A6772"/>
      <name val="Cambria"/>
    </font>
    <font>
      <b/>
      <sz val="12"/>
      <color theme="1"/>
      <name val="Cambria"/>
    </font>
    <font>
      <b/>
      <sz val="9"/>
      <color rgb="FFC00000"/>
      <name val="Cambria"/>
    </font>
    <font>
      <b/>
      <sz val="9"/>
      <color rgb="FFED7D31"/>
      <name val="Cambria"/>
    </font>
    <font>
      <b/>
      <sz val="12"/>
      <color rgb="FF0B1F3B"/>
      <name val="Cambria"/>
    </font>
    <font>
      <u/>
      <sz val="11"/>
      <color theme="10"/>
      <name val="Cambria"/>
    </font>
    <font>
      <b/>
      <sz val="9"/>
      <color rgb="FFFFFFFF"/>
      <name val="Cambria"/>
    </font>
    <font>
      <sz val="9"/>
      <color rgb="FF000000"/>
      <name val="Cambria"/>
    </font>
    <font>
      <sz val="9"/>
      <color rgb="FF0000FF"/>
      <name val="Cambria"/>
    </font>
    <font>
      <b/>
      <sz val="9"/>
      <color rgb="FF0000FF"/>
      <name val="Cambria"/>
    </font>
    <font>
      <b/>
      <sz val="9"/>
      <color rgb="FF548235"/>
      <name val="Cambria"/>
    </font>
    <font>
      <b/>
      <sz val="14"/>
      <color rgb="FF0B1F3B"/>
      <name val="Cambria"/>
    </font>
    <font>
      <i/>
      <sz val="11"/>
      <color rgb="FF546275"/>
      <name val="Cambria"/>
    </font>
    <font>
      <sz val="10"/>
      <color theme="1"/>
      <name val="Cambria"/>
    </font>
    <font>
      <sz val="10"/>
      <color rgb="FF008000"/>
      <name val="Cambria"/>
    </font>
    <font>
      <b/>
      <sz val="10"/>
      <color rgb="FFFFFFFF"/>
      <name val="Cambria"/>
    </font>
    <font>
      <b/>
      <sz val="10"/>
      <color rgb="FF3B4B62"/>
      <name val="Cambria"/>
    </font>
    <font>
      <sz val="10"/>
      <color rgb="FF000000"/>
      <name val="Cambria"/>
    </font>
    <font>
      <b/>
      <sz val="10"/>
      <color rgb="FF008000"/>
      <name val="Cambria"/>
    </font>
    <font>
      <b/>
      <i/>
      <sz val="10"/>
      <color rgb="FF000000"/>
      <name val="Cambria"/>
    </font>
    <font>
      <b/>
      <sz val="10"/>
      <color rgb="FF000000"/>
      <name val="Cambria"/>
    </font>
    <font>
      <i/>
      <sz val="10"/>
      <color theme="1"/>
      <name val="Cambria"/>
    </font>
    <font>
      <i/>
      <sz val="9"/>
      <color rgb="FFFF0000"/>
      <name val="Cambria"/>
    </font>
    <font>
      <b/>
      <sz val="10"/>
      <color rgb="FF5A6772"/>
      <name val="Cambria"/>
    </font>
    <font>
      <sz val="1"/>
      <color rgb="FFFFFFFF"/>
      <name val="Cambria"/>
    </font>
    <font>
      <sz val="11"/>
      <color rgb="FF008000"/>
      <name val="Cambria"/>
      <family val="1"/>
    </font>
    <font>
      <b/>
      <sz val="9"/>
      <color rgb="FF000000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12"/>
      <color rgb="FF0B1F3B"/>
      <name val="Cambria"/>
      <family val="1"/>
    </font>
    <font>
      <i/>
      <sz val="9"/>
      <color rgb="FF5A6772"/>
      <name val="Cambria"/>
      <family val="1"/>
    </font>
    <font>
      <b/>
      <sz val="10"/>
      <color rgb="FFFFFFFF"/>
      <name val="Cambria"/>
      <family val="1"/>
    </font>
    <font>
      <sz val="10"/>
      <color rgb="FF000000"/>
      <name val="Cambria"/>
      <family val="1"/>
    </font>
    <font>
      <sz val="10"/>
      <color rgb="FF5A6772"/>
      <name val="Cambria"/>
      <family val="1"/>
    </font>
    <font>
      <b/>
      <sz val="10"/>
      <color rgb="FF0B1F3B"/>
      <name val="Cambria"/>
      <family val="1"/>
    </font>
    <font>
      <b/>
      <sz val="10"/>
      <color rgb="FF000000"/>
      <name val="Cambria"/>
      <family val="1"/>
    </font>
    <font>
      <b/>
      <i/>
      <sz val="10"/>
      <color rgb="FF000000"/>
      <name val="Cambria"/>
      <family val="1"/>
    </font>
    <font>
      <b/>
      <sz val="10"/>
      <color rgb="FF5A6772"/>
      <name val="Cambria"/>
      <family val="1"/>
    </font>
    <font>
      <sz val="11"/>
      <color rgb="FFFFFFFF"/>
      <name val="Cambria"/>
    </font>
    <font>
      <b/>
      <sz val="11"/>
      <color theme="1"/>
      <name val="Aptos Narrow"/>
      <family val="2"/>
      <scheme val="minor"/>
    </font>
    <font>
      <sz val="9"/>
      <name val="Cambria"/>
      <family val="1"/>
    </font>
    <font>
      <b/>
      <sz val="9"/>
      <color rgb="FF0000FF"/>
      <name val="Cambria"/>
      <family val="1"/>
    </font>
    <font>
      <b/>
      <sz val="11"/>
      <color rgb="FFFFFFFF"/>
      <name val="Cambria"/>
      <family val="1"/>
    </font>
    <font>
      <b/>
      <sz val="9"/>
      <color rgb="FF0B1F3B"/>
      <name val="Cambria"/>
      <family val="1"/>
    </font>
    <font>
      <b/>
      <sz val="9"/>
      <color rgb="FF008000"/>
      <name val="Cambria"/>
      <family val="1"/>
    </font>
    <font>
      <sz val="9"/>
      <color rgb="FF008000"/>
      <name val="Cambria"/>
      <family val="1"/>
    </font>
    <font>
      <sz val="11"/>
      <color theme="1"/>
      <name val="Cambria"/>
      <family val="1"/>
    </font>
    <font>
      <sz val="9"/>
      <color rgb="FF000000"/>
      <name val="Cambria"/>
      <family val="1"/>
    </font>
    <font>
      <sz val="11"/>
      <color rgb="FFFFFFFF"/>
      <name val="Cambria"/>
      <family val="1"/>
    </font>
    <font>
      <b/>
      <sz val="11"/>
      <color theme="1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sz val="10"/>
      <color rgb="FF008000"/>
      <name val="Cambria"/>
      <family val="1"/>
    </font>
    <font>
      <b/>
      <sz val="11"/>
      <color theme="0"/>
      <name val="Cambria"/>
      <family val="1"/>
    </font>
    <font>
      <sz val="9"/>
      <color rgb="FF5A6772"/>
      <name val="Cambria"/>
      <family val="1"/>
    </font>
    <font>
      <i/>
      <sz val="8"/>
      <color rgb="FF5A6772"/>
      <name val="Cambria"/>
    </font>
    <font>
      <i/>
      <sz val="7"/>
      <color rgb="FF5A6772"/>
      <name val="Cambria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ptos Narrow"/>
      <family val="2"/>
      <scheme val="minor"/>
    </font>
    <font>
      <b/>
      <sz val="9"/>
      <color rgb="FF5A6772"/>
      <name val="Cambria"/>
    </font>
    <font>
      <b/>
      <sz val="8"/>
      <color rgb="FF5A6772"/>
      <name val="Cambria"/>
    </font>
    <font>
      <b/>
      <i/>
      <sz val="8"/>
      <color rgb="FF5A6772"/>
      <name val="Cambria"/>
      <family val="1"/>
    </font>
    <font>
      <b/>
      <sz val="10"/>
      <color rgb="FF008000"/>
      <name val="Cambria"/>
      <family val="1"/>
    </font>
    <font>
      <b/>
      <sz val="10"/>
      <color rgb="FF0000FF"/>
      <name val="Cambria"/>
      <family val="1"/>
    </font>
    <font>
      <sz val="10"/>
      <name val="Cambria"/>
      <family val="1"/>
    </font>
    <font>
      <sz val="1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B1F3B"/>
        <bgColor indexed="64"/>
      </patternFill>
    </fill>
    <fill>
      <patternFill patternType="solid">
        <fgColor rgb="FFD1B76E"/>
        <bgColor indexed="64"/>
      </patternFill>
    </fill>
    <fill>
      <patternFill patternType="solid">
        <fgColor rgb="FFCED2D7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DCC992"/>
        <bgColor indexed="64"/>
      </patternFill>
    </fill>
    <fill>
      <patternFill patternType="solid">
        <fgColor rgb="FF3B4B62"/>
        <bgColor indexed="64"/>
      </patternFill>
    </fill>
    <fill>
      <patternFill patternType="solid">
        <fgColor rgb="FFC6A54A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1F4E79"/>
      </left>
      <right/>
      <top/>
      <bottom/>
      <diagonal/>
    </border>
    <border>
      <left/>
      <right style="medium">
        <color rgb="FF0B1F3B"/>
      </right>
      <top/>
      <bottom/>
      <diagonal/>
    </border>
    <border>
      <left style="medium">
        <color rgb="FF0B1F3B"/>
      </left>
      <right/>
      <top/>
      <bottom/>
      <diagonal/>
    </border>
    <border>
      <left style="medium">
        <color rgb="FF0B1F3B"/>
      </left>
      <right/>
      <top/>
      <bottom style="medium">
        <color rgb="FF0B1F3B"/>
      </bottom>
      <diagonal/>
    </border>
    <border>
      <left/>
      <right/>
      <top/>
      <bottom style="medium">
        <color rgb="FF0B1F3B"/>
      </bottom>
      <diagonal/>
    </border>
    <border>
      <left/>
      <right style="medium">
        <color rgb="FF0B1F3B"/>
      </right>
      <top/>
      <bottom style="medium">
        <color rgb="FF0B1F3B"/>
      </bottom>
      <diagonal/>
    </border>
    <border>
      <left style="thin">
        <color rgb="FFCED2D7"/>
      </left>
      <right/>
      <top/>
      <bottom/>
      <diagonal/>
    </border>
    <border>
      <left style="thin">
        <color rgb="FFCED2D7"/>
      </left>
      <right style="medium">
        <color rgb="FF0B1F3B"/>
      </right>
      <top/>
      <bottom/>
      <diagonal/>
    </border>
    <border>
      <left style="medium">
        <color rgb="FF0B1F3B"/>
      </left>
      <right/>
      <top style="thin">
        <color rgb="FFCED2D7"/>
      </top>
      <bottom/>
      <diagonal/>
    </border>
    <border>
      <left style="thin">
        <color rgb="FFCED2D7"/>
      </left>
      <right/>
      <top style="thin">
        <color rgb="FFCED2D7"/>
      </top>
      <bottom/>
      <diagonal/>
    </border>
    <border>
      <left style="thin">
        <color rgb="FFCED2D7"/>
      </left>
      <right style="medium">
        <color rgb="FF0B1F3B"/>
      </right>
      <top style="thin">
        <color rgb="FFCED2D7"/>
      </top>
      <bottom/>
      <diagonal/>
    </border>
    <border>
      <left style="medium">
        <color rgb="FF0B1F3B"/>
      </left>
      <right/>
      <top style="thin">
        <color rgb="FFCED2D7"/>
      </top>
      <bottom style="medium">
        <color rgb="FF0B1F3B"/>
      </bottom>
      <diagonal/>
    </border>
    <border>
      <left style="thin">
        <color rgb="FFCED2D7"/>
      </left>
      <right/>
      <top style="thin">
        <color rgb="FFCED2D7"/>
      </top>
      <bottom style="medium">
        <color rgb="FF0B1F3B"/>
      </bottom>
      <diagonal/>
    </border>
    <border>
      <left style="thin">
        <color rgb="FFCED2D7"/>
      </left>
      <right style="medium">
        <color rgb="FF0B1F3B"/>
      </right>
      <top style="thin">
        <color rgb="FFCED2D7"/>
      </top>
      <bottom style="medium">
        <color rgb="FF0B1F3B"/>
      </bottom>
      <diagonal/>
    </border>
    <border>
      <left style="thick">
        <color rgb="FFC6A54A"/>
      </left>
      <right/>
      <top/>
      <bottom/>
      <diagonal/>
    </border>
    <border>
      <left style="thick">
        <color rgb="FFC6A54A"/>
      </left>
      <right/>
      <top style="medium">
        <color rgb="FF0B1F3B"/>
      </top>
      <bottom/>
      <diagonal/>
    </border>
    <border>
      <left/>
      <right/>
      <top style="medium">
        <color rgb="FF0B1F3B"/>
      </top>
      <bottom/>
      <diagonal/>
    </border>
    <border>
      <left/>
      <right/>
      <top style="thin">
        <color rgb="FF0B1F3B"/>
      </top>
      <bottom/>
      <diagonal/>
    </border>
    <border>
      <left/>
      <right/>
      <top style="thin">
        <color rgb="FF0B1F3B"/>
      </top>
      <bottom style="medium">
        <color rgb="FF0B1F3B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rgb="FF0B1F3B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rgb="FF0B1F3B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B1F3B"/>
      </left>
      <right/>
      <top/>
      <bottom style="thin">
        <color rgb="FFCED2D7"/>
      </bottom>
      <diagonal/>
    </border>
    <border>
      <left/>
      <right style="thin">
        <color rgb="FFCED2D7"/>
      </right>
      <top/>
      <bottom style="thin">
        <color rgb="FFCED2D7"/>
      </bottom>
      <diagonal/>
    </border>
    <border>
      <left/>
      <right/>
      <top/>
      <bottom style="thin">
        <color rgb="FF0B1F3B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B1F3B"/>
      </top>
      <bottom style="thin">
        <color rgb="FF000000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61">
    <xf numFmtId="0" fontId="0" fillId="0" borderId="0" xfId="0"/>
    <xf numFmtId="9" fontId="0" fillId="0" borderId="0" xfId="2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7" borderId="0" xfId="0" applyFont="1" applyFill="1"/>
    <xf numFmtId="0" fontId="5" fillId="0" borderId="7" xfId="0" applyFont="1" applyBorder="1"/>
    <xf numFmtId="0" fontId="13" fillId="6" borderId="6" xfId="0" applyFont="1" applyFill="1" applyBorder="1"/>
    <xf numFmtId="0" fontId="5" fillId="6" borderId="0" xfId="0" applyFont="1" applyFill="1"/>
    <xf numFmtId="0" fontId="5" fillId="6" borderId="7" xfId="0" applyFont="1" applyFill="1" applyBorder="1"/>
    <xf numFmtId="0" fontId="14" fillId="8" borderId="6" xfId="0" applyFont="1" applyFill="1" applyBorder="1" applyAlignment="1">
      <alignment horizontal="left"/>
    </xf>
    <xf numFmtId="0" fontId="14" fillId="8" borderId="0" xfId="0" applyFont="1" applyFill="1" applyAlignment="1">
      <alignment horizontal="center"/>
    </xf>
    <xf numFmtId="0" fontId="14" fillId="8" borderId="7" xfId="0" applyFont="1" applyFill="1" applyBorder="1" applyAlignment="1">
      <alignment horizontal="left"/>
    </xf>
    <xf numFmtId="0" fontId="15" fillId="8" borderId="8" xfId="0" applyFont="1" applyFill="1" applyBorder="1"/>
    <xf numFmtId="0" fontId="16" fillId="8" borderId="7" xfId="0" applyFont="1" applyFill="1" applyBorder="1" applyAlignment="1">
      <alignment horizontal="center"/>
    </xf>
    <xf numFmtId="0" fontId="17" fillId="9" borderId="6" xfId="0" applyFont="1" applyFill="1" applyBorder="1"/>
    <xf numFmtId="0" fontId="5" fillId="9" borderId="0" xfId="0" applyFont="1" applyFill="1"/>
    <xf numFmtId="0" fontId="5" fillId="9" borderId="7" xfId="0" applyFont="1" applyFill="1" applyBorder="1"/>
    <xf numFmtId="0" fontId="18" fillId="0" borderId="8" xfId="0" applyFont="1" applyBorder="1"/>
    <xf numFmtId="168" fontId="18" fillId="0" borderId="7" xfId="0" applyNumberFormat="1" applyFont="1" applyBorder="1" applyAlignment="1">
      <alignment horizontal="center"/>
    </xf>
    <xf numFmtId="0" fontId="19" fillId="0" borderId="6" xfId="0" applyFont="1" applyBorder="1"/>
    <xf numFmtId="0" fontId="21" fillId="0" borderId="7" xfId="0" applyFont="1" applyBorder="1"/>
    <xf numFmtId="0" fontId="22" fillId="10" borderId="8" xfId="0" applyFont="1" applyFill="1" applyBorder="1"/>
    <xf numFmtId="165" fontId="22" fillId="10" borderId="7" xfId="0" applyNumberFormat="1" applyFont="1" applyFill="1" applyBorder="1" applyAlignment="1">
      <alignment horizontal="center"/>
    </xf>
    <xf numFmtId="0" fontId="19" fillId="9" borderId="6" xfId="0" applyFont="1" applyFill="1" applyBorder="1"/>
    <xf numFmtId="180" fontId="20" fillId="9" borderId="0" xfId="0" applyNumberFormat="1" applyFont="1" applyFill="1" applyAlignment="1">
      <alignment horizontal="center"/>
    </xf>
    <xf numFmtId="0" fontId="21" fillId="9" borderId="7" xfId="0" applyFont="1" applyFill="1" applyBorder="1"/>
    <xf numFmtId="0" fontId="19" fillId="0" borderId="8" xfId="0" applyFont="1" applyBorder="1"/>
    <xf numFmtId="165" fontId="19" fillId="0" borderId="7" xfId="0" applyNumberFormat="1" applyFont="1" applyBorder="1" applyAlignment="1">
      <alignment horizontal="center"/>
    </xf>
    <xf numFmtId="2" fontId="20" fillId="0" borderId="0" xfId="0" applyNumberFormat="1" applyFont="1" applyAlignment="1">
      <alignment horizontal="center"/>
    </xf>
    <xf numFmtId="0" fontId="19" fillId="9" borderId="8" xfId="0" applyFont="1" applyFill="1" applyBorder="1"/>
    <xf numFmtId="0" fontId="5" fillId="0" borderId="6" xfId="0" applyFont="1" applyBorder="1"/>
    <xf numFmtId="181" fontId="19" fillId="0" borderId="7" xfId="0" applyNumberFormat="1" applyFont="1" applyBorder="1" applyAlignment="1">
      <alignment horizontal="center"/>
    </xf>
    <xf numFmtId="0" fontId="19" fillId="9" borderId="7" xfId="0" applyFont="1" applyFill="1" applyBorder="1" applyAlignment="1">
      <alignment horizontal="center"/>
    </xf>
    <xf numFmtId="3" fontId="20" fillId="0" borderId="0" xfId="0" applyNumberFormat="1" applyFont="1" applyAlignment="1">
      <alignment horizontal="center"/>
    </xf>
    <xf numFmtId="3" fontId="19" fillId="0" borderId="7" xfId="0" applyNumberFormat="1" applyFont="1" applyBorder="1" applyAlignment="1">
      <alignment horizontal="center"/>
    </xf>
    <xf numFmtId="3" fontId="20" fillId="9" borderId="0" xfId="0" applyNumberFormat="1" applyFont="1" applyFill="1" applyAlignment="1">
      <alignment horizontal="center"/>
    </xf>
    <xf numFmtId="168" fontId="19" fillId="9" borderId="7" xfId="0" applyNumberFormat="1" applyFont="1" applyFill="1" applyBorder="1" applyAlignment="1">
      <alignment horizontal="center"/>
    </xf>
    <xf numFmtId="0" fontId="19" fillId="0" borderId="9" xfId="0" applyFont="1" applyBorder="1"/>
    <xf numFmtId="166" fontId="19" fillId="0" borderId="11" xfId="0" applyNumberFormat="1" applyFont="1" applyBorder="1" applyAlignment="1">
      <alignment horizontal="center"/>
    </xf>
    <xf numFmtId="0" fontId="15" fillId="10" borderId="6" xfId="0" applyFont="1" applyFill="1" applyBorder="1"/>
    <xf numFmtId="164" fontId="14" fillId="10" borderId="0" xfId="0" applyNumberFormat="1" applyFont="1" applyFill="1" applyAlignment="1">
      <alignment horizontal="center"/>
    </xf>
    <xf numFmtId="0" fontId="11" fillId="10" borderId="7" xfId="0" applyFont="1" applyFill="1" applyBorder="1"/>
    <xf numFmtId="0" fontId="15" fillId="8" borderId="7" xfId="0" applyFont="1" applyFill="1" applyBorder="1"/>
    <xf numFmtId="0" fontId="16" fillId="0" borderId="0" xfId="0" applyFont="1" applyAlignment="1">
      <alignment horizontal="center"/>
    </xf>
    <xf numFmtId="0" fontId="21" fillId="9" borderId="0" xfId="0" applyFont="1" applyFill="1" applyAlignment="1">
      <alignment horizontal="center"/>
    </xf>
    <xf numFmtId="166" fontId="20" fillId="0" borderId="0" xfId="0" applyNumberFormat="1" applyFont="1" applyAlignment="1">
      <alignment horizontal="center"/>
    </xf>
    <xf numFmtId="166" fontId="20" fillId="9" borderId="0" xfId="0" applyNumberFormat="1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164" fontId="20" fillId="0" borderId="0" xfId="0" applyNumberFormat="1" applyFont="1" applyAlignment="1">
      <alignment horizontal="center"/>
    </xf>
    <xf numFmtId="0" fontId="19" fillId="9" borderId="9" xfId="0" applyFont="1" applyFill="1" applyBorder="1"/>
    <xf numFmtId="0" fontId="21" fillId="9" borderId="11" xfId="0" applyFont="1" applyFill="1" applyBorder="1"/>
    <xf numFmtId="164" fontId="20" fillId="9" borderId="10" xfId="0" applyNumberFormat="1" applyFont="1" applyFill="1" applyBorder="1" applyAlignment="1">
      <alignment horizontal="center"/>
    </xf>
    <xf numFmtId="0" fontId="13" fillId="6" borderId="0" xfId="0" applyFont="1" applyFill="1"/>
    <xf numFmtId="0" fontId="15" fillId="8" borderId="0" xfId="0" applyFont="1" applyFill="1"/>
    <xf numFmtId="0" fontId="23" fillId="0" borderId="0" xfId="0" applyFont="1"/>
    <xf numFmtId="0" fontId="19" fillId="0" borderId="0" xfId="0" applyFont="1"/>
    <xf numFmtId="0" fontId="23" fillId="9" borderId="0" xfId="0" applyFont="1" applyFill="1"/>
    <xf numFmtId="0" fontId="19" fillId="9" borderId="0" xfId="0" applyFont="1" applyFill="1"/>
    <xf numFmtId="0" fontId="24" fillId="0" borderId="0" xfId="0" applyFont="1"/>
    <xf numFmtId="0" fontId="24" fillId="9" borderId="0" xfId="0" applyFont="1" applyFill="1"/>
    <xf numFmtId="0" fontId="16" fillId="0" borderId="0" xfId="0" applyFont="1"/>
    <xf numFmtId="0" fontId="16" fillId="9" borderId="9" xfId="0" applyFont="1" applyFill="1" applyBorder="1"/>
    <xf numFmtId="0" fontId="19" fillId="9" borderId="10" xfId="0" applyFont="1" applyFill="1" applyBorder="1"/>
    <xf numFmtId="0" fontId="25" fillId="0" borderId="0" xfId="0" applyFont="1"/>
    <xf numFmtId="0" fontId="26" fillId="0" borderId="0" xfId="1" applyFont="1"/>
    <xf numFmtId="0" fontId="27" fillId="4" borderId="12" xfId="0" applyFont="1" applyFill="1" applyBorder="1" applyAlignment="1">
      <alignment horizontal="center"/>
    </xf>
    <xf numFmtId="0" fontId="27" fillId="11" borderId="12" xfId="0" applyFont="1" applyFill="1" applyBorder="1" applyAlignment="1">
      <alignment horizontal="center"/>
    </xf>
    <xf numFmtId="0" fontId="27" fillId="5" borderId="13" xfId="0" applyFont="1" applyFill="1" applyBorder="1" applyAlignment="1">
      <alignment horizontal="center"/>
    </xf>
    <xf numFmtId="0" fontId="15" fillId="8" borderId="10" xfId="0" applyFont="1" applyFill="1" applyBorder="1"/>
    <xf numFmtId="0" fontId="15" fillId="8" borderId="10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left"/>
    </xf>
    <xf numFmtId="0" fontId="14" fillId="8" borderId="14" xfId="0" applyFont="1" applyFill="1" applyBorder="1" applyAlignment="1">
      <alignment horizontal="center"/>
    </xf>
    <xf numFmtId="0" fontId="14" fillId="8" borderId="15" xfId="0" applyFont="1" applyFill="1" applyBorder="1" applyAlignment="1">
      <alignment horizontal="center"/>
    </xf>
    <xf numFmtId="0" fontId="14" fillId="8" borderId="16" xfId="0" applyFont="1" applyFill="1" applyBorder="1" applyAlignment="1">
      <alignment horizontal="center"/>
    </xf>
    <xf numFmtId="0" fontId="28" fillId="3" borderId="0" xfId="0" applyFont="1" applyFill="1"/>
    <xf numFmtId="0" fontId="21" fillId="3" borderId="0" xfId="0" applyFont="1" applyFill="1" applyAlignment="1">
      <alignment horizontal="center"/>
    </xf>
    <xf numFmtId="3" fontId="21" fillId="3" borderId="0" xfId="0" applyNumberFormat="1" applyFont="1" applyFill="1" applyAlignment="1">
      <alignment horizontal="left"/>
    </xf>
    <xf numFmtId="0" fontId="19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8" fillId="9" borderId="0" xfId="0" applyFont="1" applyFill="1"/>
    <xf numFmtId="3" fontId="29" fillId="9" borderId="0" xfId="0" applyNumberFormat="1" applyFont="1" applyFill="1" applyAlignment="1">
      <alignment horizontal="center"/>
    </xf>
    <xf numFmtId="3" fontId="21" fillId="9" borderId="0" xfId="0" applyNumberFormat="1" applyFont="1" applyFill="1" applyAlignment="1">
      <alignment horizontal="left"/>
    </xf>
    <xf numFmtId="0" fontId="19" fillId="9" borderId="14" xfId="0" applyFont="1" applyFill="1" applyBorder="1" applyAlignment="1">
      <alignment horizontal="center"/>
    </xf>
    <xf numFmtId="0" fontId="21" fillId="9" borderId="15" xfId="0" applyFont="1" applyFill="1" applyBorder="1" applyAlignment="1">
      <alignment horizontal="center"/>
    </xf>
    <xf numFmtId="0" fontId="29" fillId="9" borderId="15" xfId="0" applyFont="1" applyFill="1" applyBorder="1" applyAlignment="1">
      <alignment horizontal="center"/>
    </xf>
    <xf numFmtId="0" fontId="29" fillId="9" borderId="16" xfId="0" applyFont="1" applyFill="1" applyBorder="1" applyAlignment="1">
      <alignment horizontal="center"/>
    </xf>
    <xf numFmtId="2" fontId="29" fillId="3" borderId="0" xfId="0" applyNumberFormat="1" applyFont="1" applyFill="1" applyAlignment="1">
      <alignment horizontal="center"/>
    </xf>
    <xf numFmtId="2" fontId="21" fillId="3" borderId="0" xfId="0" applyNumberFormat="1" applyFont="1" applyFill="1" applyAlignment="1">
      <alignment horizontal="left"/>
    </xf>
    <xf numFmtId="0" fontId="14" fillId="10" borderId="20" xfId="0" applyFont="1" applyFill="1" applyBorder="1"/>
    <xf numFmtId="0" fontId="21" fillId="10" borderId="0" xfId="0" applyFont="1" applyFill="1" applyAlignment="1">
      <alignment horizontal="center"/>
    </xf>
    <xf numFmtId="9" fontId="30" fillId="10" borderId="0" xfId="0" applyNumberFormat="1" applyFont="1" applyFill="1" applyAlignment="1">
      <alignment horizontal="center"/>
    </xf>
    <xf numFmtId="9" fontId="21" fillId="10" borderId="0" xfId="0" applyNumberFormat="1" applyFont="1" applyFill="1" applyAlignment="1">
      <alignment horizontal="left"/>
    </xf>
    <xf numFmtId="0" fontId="19" fillId="9" borderId="17" xfId="0" applyFont="1" applyFill="1" applyBorder="1" applyAlignment="1">
      <alignment horizontal="center"/>
    </xf>
    <xf numFmtId="0" fontId="21" fillId="9" borderId="18" xfId="0" applyFont="1" applyFill="1" applyBorder="1" applyAlignment="1">
      <alignment horizontal="center"/>
    </xf>
    <xf numFmtId="0" fontId="29" fillId="9" borderId="18" xfId="0" applyFont="1" applyFill="1" applyBorder="1" applyAlignment="1">
      <alignment horizontal="center"/>
    </xf>
    <xf numFmtId="0" fontId="29" fillId="9" borderId="19" xfId="0" applyFont="1" applyFill="1" applyBorder="1" applyAlignment="1">
      <alignment horizontal="center"/>
    </xf>
    <xf numFmtId="0" fontId="29" fillId="9" borderId="0" xfId="0" applyFont="1" applyFill="1" applyAlignment="1">
      <alignment horizontal="center"/>
    </xf>
    <xf numFmtId="0" fontId="21" fillId="9" borderId="0" xfId="0" applyFont="1" applyFill="1" applyAlignment="1">
      <alignment horizontal="left"/>
    </xf>
    <xf numFmtId="182" fontId="29" fillId="3" borderId="0" xfId="0" applyNumberFormat="1" applyFont="1" applyFill="1" applyAlignment="1">
      <alignment horizontal="center"/>
    </xf>
    <xf numFmtId="0" fontId="21" fillId="3" borderId="0" xfId="0" applyFont="1" applyFill="1" applyAlignment="1">
      <alignment horizontal="left"/>
    </xf>
    <xf numFmtId="0" fontId="2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3" fontId="29" fillId="9" borderId="0" xfId="0" applyNumberFormat="1" applyFont="1" applyFill="1" applyAlignment="1">
      <alignment horizontal="center"/>
    </xf>
    <xf numFmtId="173" fontId="21" fillId="9" borderId="0" xfId="0" applyNumberFormat="1" applyFont="1" applyFill="1" applyAlignment="1">
      <alignment horizontal="left"/>
    </xf>
    <xf numFmtId="173" fontId="29" fillId="0" borderId="0" xfId="0" applyNumberFormat="1" applyFont="1" applyAlignment="1">
      <alignment horizontal="center"/>
    </xf>
    <xf numFmtId="173" fontId="21" fillId="3" borderId="0" xfId="0" applyNumberFormat="1" applyFont="1" applyFill="1" applyAlignment="1">
      <alignment horizontal="left"/>
    </xf>
    <xf numFmtId="0" fontId="17" fillId="0" borderId="0" xfId="0" applyFont="1"/>
    <xf numFmtId="0" fontId="21" fillId="0" borderId="0" xfId="0" applyFont="1"/>
    <xf numFmtId="0" fontId="31" fillId="0" borderId="0" xfId="0" applyFont="1"/>
    <xf numFmtId="3" fontId="29" fillId="0" borderId="0" xfId="0" applyNumberFormat="1" applyFont="1" applyAlignment="1">
      <alignment horizontal="center"/>
    </xf>
    <xf numFmtId="0" fontId="14" fillId="10" borderId="21" xfId="0" applyFont="1" applyFill="1" applyBorder="1"/>
    <xf numFmtId="3" fontId="30" fillId="10" borderId="0" xfId="0" applyNumberFormat="1" applyFont="1" applyFill="1" applyAlignment="1">
      <alignment horizontal="center"/>
    </xf>
    <xf numFmtId="3" fontId="21" fillId="10" borderId="0" xfId="0" applyNumberFormat="1" applyFont="1" applyFill="1" applyAlignment="1">
      <alignment horizontal="left"/>
    </xf>
    <xf numFmtId="0" fontId="14" fillId="10" borderId="0" xfId="0" applyFont="1" applyFill="1"/>
    <xf numFmtId="0" fontId="32" fillId="0" borderId="0" xfId="0" applyFont="1"/>
    <xf numFmtId="0" fontId="33" fillId="0" borderId="0" xfId="0" applyFont="1"/>
    <xf numFmtId="0" fontId="34" fillId="0" borderId="0" xfId="0" applyFont="1"/>
    <xf numFmtId="164" fontId="18" fillId="0" borderId="0" xfId="0" applyNumberFormat="1" applyFont="1"/>
    <xf numFmtId="10" fontId="5" fillId="0" borderId="0" xfId="2" applyNumberFormat="1" applyFont="1"/>
    <xf numFmtId="165" fontId="18" fillId="0" borderId="0" xfId="0" applyNumberFormat="1" applyFont="1"/>
    <xf numFmtId="165" fontId="12" fillId="0" borderId="0" xfId="0" applyNumberFormat="1" applyFont="1"/>
    <xf numFmtId="167" fontId="34" fillId="0" borderId="0" xfId="0" applyNumberFormat="1" applyFont="1"/>
    <xf numFmtId="0" fontId="35" fillId="0" borderId="0" xfId="0" applyFont="1"/>
    <xf numFmtId="3" fontId="34" fillId="0" borderId="0" xfId="0" applyNumberFormat="1" applyFont="1"/>
    <xf numFmtId="0" fontId="36" fillId="11" borderId="0" xfId="0" applyFont="1" applyFill="1"/>
    <xf numFmtId="0" fontId="37" fillId="8" borderId="0" xfId="0" applyFont="1" applyFill="1" applyAlignment="1">
      <alignment horizontal="center"/>
    </xf>
    <xf numFmtId="168" fontId="38" fillId="7" borderId="0" xfId="0" applyNumberFormat="1" applyFont="1" applyFill="1"/>
    <xf numFmtId="0" fontId="38" fillId="3" borderId="0" xfId="0" applyFont="1" applyFill="1"/>
    <xf numFmtId="165" fontId="38" fillId="7" borderId="0" xfId="0" applyNumberFormat="1" applyFont="1" applyFill="1"/>
    <xf numFmtId="174" fontId="12" fillId="7" borderId="0" xfId="0" applyNumberFormat="1" applyFont="1" applyFill="1"/>
    <xf numFmtId="2" fontId="12" fillId="7" borderId="0" xfId="0" applyNumberFormat="1" applyFont="1" applyFill="1"/>
    <xf numFmtId="166" fontId="35" fillId="7" borderId="0" xfId="0" applyNumberFormat="1" applyFont="1" applyFill="1"/>
    <xf numFmtId="166" fontId="35" fillId="0" borderId="0" xfId="0" applyNumberFormat="1" applyFont="1"/>
    <xf numFmtId="166" fontId="12" fillId="0" borderId="0" xfId="0" applyNumberFormat="1" applyFont="1"/>
    <xf numFmtId="4" fontId="12" fillId="0" borderId="0" xfId="0" applyNumberFormat="1" applyFont="1"/>
    <xf numFmtId="164" fontId="35" fillId="0" borderId="0" xfId="0" applyNumberFormat="1" applyFont="1"/>
    <xf numFmtId="164" fontId="12" fillId="0" borderId="0" xfId="0" applyNumberFormat="1" applyFont="1"/>
    <xf numFmtId="0" fontId="12" fillId="0" borderId="0" xfId="0" applyFont="1"/>
    <xf numFmtId="0" fontId="5" fillId="7" borderId="0" xfId="0" applyFont="1" applyFill="1" applyAlignment="1">
      <alignment horizontal="right"/>
    </xf>
    <xf numFmtId="0" fontId="18" fillId="8" borderId="0" xfId="0" applyFont="1" applyFill="1"/>
    <xf numFmtId="0" fontId="18" fillId="8" borderId="0" xfId="0" applyFont="1" applyFill="1" applyAlignment="1">
      <alignment horizontal="center"/>
    </xf>
    <xf numFmtId="169" fontId="35" fillId="0" borderId="0" xfId="0" applyNumberFormat="1" applyFont="1"/>
    <xf numFmtId="2" fontId="35" fillId="0" borderId="0" xfId="0" applyNumberFormat="1" applyFont="1"/>
    <xf numFmtId="0" fontId="18" fillId="10" borderId="0" xfId="0" applyFont="1" applyFill="1"/>
    <xf numFmtId="0" fontId="9" fillId="8" borderId="0" xfId="0" applyFont="1" applyFill="1" applyAlignment="1">
      <alignment horizontal="center"/>
    </xf>
    <xf numFmtId="49" fontId="18" fillId="8" borderId="0" xfId="0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169" fontId="34" fillId="9" borderId="0" xfId="0" applyNumberFormat="1" applyFont="1" applyFill="1"/>
    <xf numFmtId="2" fontId="34" fillId="9" borderId="0" xfId="0" applyNumberFormat="1" applyFont="1" applyFill="1"/>
    <xf numFmtId="166" fontId="34" fillId="9" borderId="0" xfId="0" applyNumberFormat="1" applyFont="1" applyFill="1"/>
    <xf numFmtId="0" fontId="18" fillId="0" borderId="1" xfId="0" applyFont="1" applyBorder="1"/>
    <xf numFmtId="0" fontId="34" fillId="0" borderId="1" xfId="0" applyFont="1" applyBorder="1" applyAlignment="1">
      <alignment horizontal="center"/>
    </xf>
    <xf numFmtId="3" fontId="18" fillId="9" borderId="1" xfId="0" applyNumberFormat="1" applyFont="1" applyFill="1" applyBorder="1"/>
    <xf numFmtId="3" fontId="18" fillId="0" borderId="1" xfId="0" applyNumberFormat="1" applyFont="1" applyBorder="1"/>
    <xf numFmtId="0" fontId="18" fillId="0" borderId="0" xfId="0" applyFont="1"/>
    <xf numFmtId="3" fontId="18" fillId="9" borderId="0" xfId="0" applyNumberFormat="1" applyFont="1" applyFill="1"/>
    <xf numFmtId="173" fontId="18" fillId="9" borderId="0" xfId="0" applyNumberFormat="1" applyFont="1" applyFill="1"/>
    <xf numFmtId="173" fontId="39" fillId="0" borderId="0" xfId="0" applyNumberFormat="1" applyFont="1"/>
    <xf numFmtId="166" fontId="18" fillId="9" borderId="0" xfId="0" applyNumberFormat="1" applyFont="1" applyFill="1"/>
    <xf numFmtId="166" fontId="39" fillId="0" borderId="0" xfId="0" applyNumberFormat="1" applyFont="1"/>
    <xf numFmtId="168" fontId="34" fillId="9" borderId="0" xfId="0" applyNumberFormat="1" applyFont="1" applyFill="1"/>
    <xf numFmtId="168" fontId="12" fillId="0" borderId="0" xfId="0" applyNumberFormat="1" applyFont="1"/>
    <xf numFmtId="0" fontId="38" fillId="3" borderId="0" xfId="0" applyFont="1" applyFill="1" applyAlignment="1">
      <alignment horizontal="center"/>
    </xf>
    <xf numFmtId="168" fontId="38" fillId="9" borderId="0" xfId="0" applyNumberFormat="1" applyFont="1" applyFill="1"/>
    <xf numFmtId="168" fontId="12" fillId="3" borderId="0" xfId="0" applyNumberFormat="1" applyFont="1" applyFill="1"/>
    <xf numFmtId="164" fontId="18" fillId="9" borderId="1" xfId="0" applyNumberFormat="1" applyFont="1" applyFill="1" applyBorder="1"/>
    <xf numFmtId="164" fontId="18" fillId="0" borderId="1" xfId="0" applyNumberFormat="1" applyFont="1" applyBorder="1"/>
    <xf numFmtId="164" fontId="34" fillId="9" borderId="0" xfId="0" applyNumberFormat="1" applyFont="1" applyFill="1"/>
    <xf numFmtId="164" fontId="34" fillId="0" borderId="0" xfId="0" applyNumberFormat="1" applyFont="1"/>
    <xf numFmtId="164" fontId="18" fillId="9" borderId="0" xfId="0" applyNumberFormat="1" applyFont="1" applyFill="1"/>
    <xf numFmtId="168" fontId="35" fillId="0" borderId="0" xfId="0" applyNumberFormat="1" applyFont="1"/>
    <xf numFmtId="175" fontId="34" fillId="9" borderId="0" xfId="0" applyNumberFormat="1" applyFont="1" applyFill="1"/>
    <xf numFmtId="175" fontId="35" fillId="0" borderId="0" xfId="0" applyNumberFormat="1" applyFont="1"/>
    <xf numFmtId="168" fontId="18" fillId="9" borderId="0" xfId="0" applyNumberFormat="1" applyFont="1" applyFill="1"/>
    <xf numFmtId="168" fontId="18" fillId="0" borderId="0" xfId="0" applyNumberFormat="1" applyFont="1"/>
    <xf numFmtId="0" fontId="18" fillId="0" borderId="2" xfId="0" applyFont="1" applyBorder="1"/>
    <xf numFmtId="0" fontId="34" fillId="0" borderId="2" xfId="0" applyFont="1" applyBorder="1" applyAlignment="1">
      <alignment horizontal="center"/>
    </xf>
    <xf numFmtId="164" fontId="18" fillId="9" borderId="2" xfId="0" applyNumberFormat="1" applyFont="1" applyFill="1" applyBorder="1"/>
    <xf numFmtId="164" fontId="18" fillId="0" borderId="2" xfId="0" applyNumberFormat="1" applyFont="1" applyBorder="1"/>
    <xf numFmtId="166" fontId="34" fillId="0" borderId="0" xfId="0" applyNumberFormat="1" applyFont="1"/>
    <xf numFmtId="0" fontId="40" fillId="0" borderId="3" xfId="0" applyFont="1" applyBorder="1"/>
    <xf numFmtId="0" fontId="38" fillId="0" borderId="3" xfId="0" applyFont="1" applyBorder="1" applyAlignment="1">
      <alignment horizontal="center"/>
    </xf>
    <xf numFmtId="0" fontId="5" fillId="9" borderId="3" xfId="0" applyFont="1" applyFill="1" applyBorder="1"/>
    <xf numFmtId="168" fontId="41" fillId="9" borderId="3" xfId="0" applyNumberFormat="1" applyFont="1" applyFill="1" applyBorder="1"/>
    <xf numFmtId="168" fontId="18" fillId="0" borderId="3" xfId="0" applyNumberFormat="1" applyFont="1" applyBorder="1"/>
    <xf numFmtId="164" fontId="38" fillId="0" borderId="0" xfId="0" applyNumberFormat="1" applyFont="1"/>
    <xf numFmtId="166" fontId="38" fillId="0" borderId="0" xfId="0" applyNumberFormat="1" applyFont="1"/>
    <xf numFmtId="170" fontId="34" fillId="0" borderId="0" xfId="0" applyNumberFormat="1" applyFont="1"/>
    <xf numFmtId="0" fontId="34" fillId="0" borderId="1" xfId="0" applyFont="1" applyBorder="1"/>
    <xf numFmtId="0" fontId="5" fillId="9" borderId="1" xfId="0" applyFont="1" applyFill="1" applyBorder="1"/>
    <xf numFmtId="164" fontId="34" fillId="0" borderId="1" xfId="0" applyNumberFormat="1" applyFont="1" applyBorder="1"/>
    <xf numFmtId="0" fontId="34" fillId="10" borderId="0" xfId="0" applyFont="1" applyFill="1" applyAlignment="1">
      <alignment horizontal="center"/>
    </xf>
    <xf numFmtId="0" fontId="5" fillId="10" borderId="0" xfId="0" applyFont="1" applyFill="1"/>
    <xf numFmtId="164" fontId="18" fillId="10" borderId="0" xfId="0" applyNumberFormat="1" applyFont="1" applyFill="1"/>
    <xf numFmtId="0" fontId="34" fillId="10" borderId="0" xfId="0" applyFont="1" applyFill="1"/>
    <xf numFmtId="164" fontId="34" fillId="10" borderId="0" xfId="0" applyNumberFormat="1" applyFont="1" applyFill="1"/>
    <xf numFmtId="0" fontId="38" fillId="10" borderId="0" xfId="0" applyFont="1" applyFill="1"/>
    <xf numFmtId="0" fontId="38" fillId="10" borderId="0" xfId="0" applyFont="1" applyFill="1" applyAlignment="1">
      <alignment horizontal="center"/>
    </xf>
    <xf numFmtId="164" fontId="38" fillId="10" borderId="0" xfId="0" applyNumberFormat="1" applyFont="1" applyFill="1"/>
    <xf numFmtId="171" fontId="38" fillId="10" borderId="0" xfId="0" applyNumberFormat="1" applyFont="1" applyFill="1"/>
    <xf numFmtId="172" fontId="34" fillId="10" borderId="0" xfId="0" applyNumberFormat="1" applyFont="1" applyFill="1"/>
    <xf numFmtId="164" fontId="13" fillId="6" borderId="0" xfId="0" applyNumberFormat="1" applyFont="1" applyFill="1"/>
    <xf numFmtId="165" fontId="13" fillId="6" borderId="0" xfId="0" applyNumberFormat="1" applyFont="1" applyFill="1"/>
    <xf numFmtId="165" fontId="41" fillId="8" borderId="0" xfId="0" applyNumberFormat="1" applyFont="1" applyFill="1" applyAlignment="1">
      <alignment horizontal="center"/>
    </xf>
    <xf numFmtId="168" fontId="10" fillId="8" borderId="0" xfId="0" applyNumberFormat="1" applyFont="1" applyFill="1" applyAlignment="1">
      <alignment horizontal="center"/>
    </xf>
    <xf numFmtId="165" fontId="34" fillId="0" borderId="0" xfId="0" applyNumberFormat="1" applyFont="1"/>
    <xf numFmtId="0" fontId="29" fillId="0" borderId="0" xfId="0" applyFont="1"/>
    <xf numFmtId="0" fontId="19" fillId="7" borderId="0" xfId="0" applyFont="1" applyFill="1"/>
    <xf numFmtId="0" fontId="19" fillId="10" borderId="0" xfId="0" applyFont="1" applyFill="1"/>
    <xf numFmtId="0" fontId="5" fillId="3" borderId="0" xfId="0" applyFont="1" applyFill="1"/>
    <xf numFmtId="0" fontId="32" fillId="3" borderId="0" xfId="0" applyFont="1" applyFill="1"/>
    <xf numFmtId="0" fontId="33" fillId="3" borderId="0" xfId="0" applyFont="1" applyFill="1"/>
    <xf numFmtId="0" fontId="21" fillId="3" borderId="0" xfId="0" applyFont="1" applyFill="1"/>
    <xf numFmtId="0" fontId="14" fillId="8" borderId="10" xfId="0" applyFont="1" applyFill="1" applyBorder="1" applyAlignment="1">
      <alignment horizontal="center"/>
    </xf>
    <xf numFmtId="1" fontId="14" fillId="8" borderId="10" xfId="0" applyNumberFormat="1" applyFont="1" applyFill="1" applyBorder="1" applyAlignment="1">
      <alignment horizontal="center"/>
    </xf>
    <xf numFmtId="0" fontId="17" fillId="8" borderId="10" xfId="0" applyFont="1" applyFill="1" applyBorder="1" applyAlignment="1">
      <alignment horizontal="center"/>
    </xf>
    <xf numFmtId="3" fontId="20" fillId="3" borderId="0" xfId="0" applyNumberFormat="1" applyFont="1" applyFill="1" applyAlignment="1">
      <alignment horizontal="center"/>
    </xf>
    <xf numFmtId="3" fontId="28" fillId="9" borderId="0" xfId="0" applyNumberFormat="1" applyFont="1" applyFill="1" applyAlignment="1">
      <alignment horizontal="center"/>
    </xf>
    <xf numFmtId="0" fontId="14" fillId="10" borderId="3" xfId="0" applyFont="1" applyFill="1" applyBorder="1"/>
    <xf numFmtId="0" fontId="21" fillId="10" borderId="3" xfId="0" applyFont="1" applyFill="1" applyBorder="1" applyAlignment="1">
      <alignment horizontal="center"/>
    </xf>
    <xf numFmtId="3" fontId="14" fillId="10" borderId="3" xfId="0" applyNumberFormat="1" applyFont="1" applyFill="1" applyBorder="1" applyAlignment="1">
      <alignment horizontal="center"/>
    </xf>
    <xf numFmtId="0" fontId="36" fillId="6" borderId="10" xfId="0" applyFont="1" applyFill="1" applyBorder="1"/>
    <xf numFmtId="0" fontId="36" fillId="6" borderId="10" xfId="0" applyFont="1" applyFill="1" applyBorder="1" applyAlignment="1">
      <alignment horizontal="center"/>
    </xf>
    <xf numFmtId="3" fontId="34" fillId="0" borderId="0" xfId="0" applyNumberFormat="1" applyFont="1" applyAlignment="1">
      <alignment horizontal="center"/>
    </xf>
    <xf numFmtId="173" fontId="34" fillId="0" borderId="0" xfId="0" applyNumberFormat="1" applyFont="1" applyAlignment="1">
      <alignment horizontal="center"/>
    </xf>
    <xf numFmtId="0" fontId="34" fillId="9" borderId="0" xfId="0" applyFont="1" applyFill="1"/>
    <xf numFmtId="3" fontId="34" fillId="9" borderId="0" xfId="0" applyNumberFormat="1" applyFont="1" applyFill="1" applyAlignment="1">
      <alignment horizontal="center"/>
    </xf>
    <xf numFmtId="173" fontId="34" fillId="9" borderId="0" xfId="0" applyNumberFormat="1" applyFont="1" applyFill="1" applyAlignment="1">
      <alignment horizontal="center"/>
    </xf>
    <xf numFmtId="0" fontId="42" fillId="0" borderId="0" xfId="0" applyFont="1"/>
    <xf numFmtId="0" fontId="18" fillId="10" borderId="4" xfId="0" applyFont="1" applyFill="1" applyBorder="1"/>
    <xf numFmtId="0" fontId="36" fillId="6" borderId="0" xfId="0" applyFont="1" applyFill="1"/>
    <xf numFmtId="0" fontId="5" fillId="2" borderId="0" xfId="0" applyFont="1" applyFill="1"/>
    <xf numFmtId="4" fontId="19" fillId="0" borderId="0" xfId="0" applyNumberFormat="1" applyFont="1" applyAlignment="1">
      <alignment horizontal="center"/>
    </xf>
    <xf numFmtId="176" fontId="19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4" fontId="19" fillId="9" borderId="0" xfId="0" applyNumberFormat="1" applyFont="1" applyFill="1" applyAlignment="1">
      <alignment horizontal="center"/>
    </xf>
    <xf numFmtId="176" fontId="19" fillId="9" borderId="0" xfId="0" applyNumberFormat="1" applyFont="1" applyFill="1" applyAlignment="1">
      <alignment horizontal="center"/>
    </xf>
    <xf numFmtId="4" fontId="15" fillId="9" borderId="0" xfId="0" applyNumberFormat="1" applyFont="1" applyFill="1" applyAlignment="1">
      <alignment horizontal="center"/>
    </xf>
    <xf numFmtId="0" fontId="15" fillId="0" borderId="0" xfId="0" applyFont="1"/>
    <xf numFmtId="176" fontId="15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horizontal="center"/>
    </xf>
    <xf numFmtId="173" fontId="19" fillId="0" borderId="0" xfId="0" applyNumberFormat="1" applyFont="1" applyAlignment="1">
      <alignment horizontal="center"/>
    </xf>
    <xf numFmtId="173" fontId="15" fillId="0" borderId="0" xfId="0" applyNumberFormat="1" applyFont="1" applyAlignment="1">
      <alignment horizontal="center"/>
    </xf>
    <xf numFmtId="177" fontId="19" fillId="9" borderId="0" xfId="0" applyNumberFormat="1" applyFont="1" applyFill="1" applyAlignment="1">
      <alignment horizontal="center"/>
    </xf>
    <xf numFmtId="173" fontId="19" fillId="9" borderId="0" xfId="0" applyNumberFormat="1" applyFont="1" applyFill="1" applyAlignment="1">
      <alignment horizontal="center"/>
    </xf>
    <xf numFmtId="173" fontId="15" fillId="9" borderId="0" xfId="0" applyNumberFormat="1" applyFont="1" applyFill="1" applyAlignment="1">
      <alignment horizontal="center"/>
    </xf>
    <xf numFmtId="0" fontId="15" fillId="10" borderId="5" xfId="0" applyFont="1" applyFill="1" applyBorder="1"/>
    <xf numFmtId="0" fontId="21" fillId="10" borderId="5" xfId="0" applyFont="1" applyFill="1" applyBorder="1" applyAlignment="1">
      <alignment horizontal="center"/>
    </xf>
    <xf numFmtId="4" fontId="15" fillId="10" borderId="5" xfId="0" applyNumberFormat="1" applyFont="1" applyFill="1" applyBorder="1" applyAlignment="1">
      <alignment horizontal="center"/>
    </xf>
    <xf numFmtId="176" fontId="15" fillId="10" borderId="5" xfId="0" applyNumberFormat="1" applyFont="1" applyFill="1" applyBorder="1" applyAlignment="1">
      <alignment horizontal="center"/>
    </xf>
    <xf numFmtId="0" fontId="15" fillId="10" borderId="4" xfId="0" applyFont="1" applyFill="1" applyBorder="1"/>
    <xf numFmtId="0" fontId="21" fillId="10" borderId="4" xfId="0" applyFont="1" applyFill="1" applyBorder="1" applyAlignment="1">
      <alignment horizontal="center"/>
    </xf>
    <xf numFmtId="4" fontId="15" fillId="10" borderId="4" xfId="0" applyNumberFormat="1" applyFont="1" applyFill="1" applyBorder="1" applyAlignment="1">
      <alignment horizontal="center"/>
    </xf>
    <xf numFmtId="0" fontId="18" fillId="8" borderId="10" xfId="0" applyFont="1" applyFill="1" applyBorder="1"/>
    <xf numFmtId="0" fontId="18" fillId="8" borderId="10" xfId="0" applyFont="1" applyFill="1" applyBorder="1" applyAlignment="1">
      <alignment horizontal="center"/>
    </xf>
    <xf numFmtId="169" fontId="34" fillId="0" borderId="0" xfId="0" applyNumberFormat="1" applyFont="1" applyAlignment="1">
      <alignment horizontal="center"/>
    </xf>
    <xf numFmtId="4" fontId="34" fillId="0" borderId="0" xfId="0" applyNumberFormat="1" applyFont="1" applyAlignment="1">
      <alignment horizontal="center"/>
    </xf>
    <xf numFmtId="169" fontId="34" fillId="9" borderId="0" xfId="0" applyNumberFormat="1" applyFont="1" applyFill="1" applyAlignment="1">
      <alignment horizontal="center"/>
    </xf>
    <xf numFmtId="4" fontId="34" fillId="9" borderId="0" xfId="0" applyNumberFormat="1" applyFont="1" applyFill="1" applyAlignment="1">
      <alignment horizontal="center"/>
    </xf>
    <xf numFmtId="169" fontId="18" fillId="10" borderId="4" xfId="0" applyNumberFormat="1" applyFont="1" applyFill="1" applyBorder="1" applyAlignment="1">
      <alignment horizontal="center"/>
    </xf>
    <xf numFmtId="4" fontId="18" fillId="10" borderId="4" xfId="0" applyNumberFormat="1" applyFont="1" applyFill="1" applyBorder="1" applyAlignment="1">
      <alignment horizontal="center"/>
    </xf>
    <xf numFmtId="0" fontId="43" fillId="0" borderId="0" xfId="0" applyFont="1"/>
    <xf numFmtId="0" fontId="36" fillId="6" borderId="10" xfId="0" applyFont="1" applyFill="1" applyBorder="1" applyAlignment="1">
      <alignment horizontal="left"/>
    </xf>
    <xf numFmtId="0" fontId="8" fillId="9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8" fillId="8" borderId="1" xfId="0" applyFont="1" applyFill="1" applyBorder="1"/>
    <xf numFmtId="169" fontId="18" fillId="8" borderId="1" xfId="0" applyNumberFormat="1" applyFont="1" applyFill="1" applyBorder="1" applyAlignment="1">
      <alignment horizontal="center"/>
    </xf>
    <xf numFmtId="0" fontId="44" fillId="8" borderId="1" xfId="0" applyFont="1" applyFill="1" applyBorder="1" applyAlignment="1">
      <alignment horizontal="center"/>
    </xf>
    <xf numFmtId="178" fontId="19" fillId="0" borderId="0" xfId="0" applyNumberFormat="1" applyFont="1" applyAlignment="1">
      <alignment horizontal="right"/>
    </xf>
    <xf numFmtId="178" fontId="19" fillId="9" borderId="0" xfId="0" applyNumberFormat="1" applyFont="1" applyFill="1" applyAlignment="1">
      <alignment horizontal="right"/>
    </xf>
    <xf numFmtId="0" fontId="15" fillId="0" borderId="3" xfId="0" applyFont="1" applyBorder="1"/>
    <xf numFmtId="178" fontId="15" fillId="0" borderId="3" xfId="0" applyNumberFormat="1" applyFont="1" applyBorder="1" applyAlignment="1">
      <alignment horizontal="right"/>
    </xf>
    <xf numFmtId="178" fontId="15" fillId="10" borderId="4" xfId="0" applyNumberFormat="1" applyFont="1" applyFill="1" applyBorder="1" applyAlignment="1">
      <alignment horizontal="right"/>
    </xf>
    <xf numFmtId="179" fontId="19" fillId="0" borderId="0" xfId="0" applyNumberFormat="1" applyFont="1" applyAlignment="1">
      <alignment horizontal="right"/>
    </xf>
    <xf numFmtId="0" fontId="15" fillId="7" borderId="0" xfId="0" applyFont="1" applyFill="1"/>
    <xf numFmtId="3" fontId="15" fillId="7" borderId="0" xfId="0" applyNumberFormat="1" applyFont="1" applyFill="1" applyAlignment="1">
      <alignment horizontal="right"/>
    </xf>
    <xf numFmtId="15" fontId="15" fillId="8" borderId="10" xfId="0" applyNumberFormat="1" applyFont="1" applyFill="1" applyBorder="1" applyAlignment="1">
      <alignment horizontal="center"/>
    </xf>
    <xf numFmtId="178" fontId="15" fillId="7" borderId="0" xfId="0" applyNumberFormat="1" applyFont="1" applyFill="1" applyAlignment="1">
      <alignment horizontal="right"/>
    </xf>
    <xf numFmtId="178" fontId="15" fillId="10" borderId="5" xfId="0" applyNumberFormat="1" applyFont="1" applyFill="1" applyBorder="1" applyAlignment="1">
      <alignment horizontal="right"/>
    </xf>
    <xf numFmtId="178" fontId="15" fillId="0" borderId="0" xfId="0" applyNumberFormat="1" applyFont="1" applyAlignment="1">
      <alignment horizontal="right"/>
    </xf>
    <xf numFmtId="0" fontId="45" fillId="3" borderId="0" xfId="0" applyFont="1" applyFill="1"/>
    <xf numFmtId="49" fontId="0" fillId="0" borderId="0" xfId="0" applyNumberFormat="1"/>
    <xf numFmtId="2" fontId="46" fillId="7" borderId="0" xfId="0" applyNumberFormat="1" applyFont="1" applyFill="1" applyAlignment="1">
      <alignment horizontal="right"/>
    </xf>
    <xf numFmtId="0" fontId="47" fillId="10" borderId="3" xfId="0" applyFont="1" applyFill="1" applyBorder="1"/>
    <xf numFmtId="0" fontId="48" fillId="8" borderId="0" xfId="0" applyFont="1" applyFill="1" applyAlignment="1">
      <alignment horizontal="center"/>
    </xf>
    <xf numFmtId="0" fontId="49" fillId="9" borderId="2" xfId="0" applyFont="1" applyFill="1" applyBorder="1"/>
    <xf numFmtId="3" fontId="49" fillId="9" borderId="2" xfId="0" applyNumberFormat="1" applyFont="1" applyFill="1" applyBorder="1" applyAlignment="1">
      <alignment horizontal="center"/>
    </xf>
    <xf numFmtId="173" fontId="49" fillId="9" borderId="2" xfId="0" applyNumberFormat="1" applyFont="1" applyFill="1" applyBorder="1" applyAlignment="1">
      <alignment horizontal="center"/>
    </xf>
    <xf numFmtId="0" fontId="48" fillId="0" borderId="2" xfId="0" applyFont="1" applyBorder="1"/>
    <xf numFmtId="3" fontId="48" fillId="0" borderId="2" xfId="0" applyNumberFormat="1" applyFont="1" applyBorder="1" applyAlignment="1">
      <alignment horizontal="center"/>
    </xf>
    <xf numFmtId="173" fontId="48" fillId="0" borderId="2" xfId="0" applyNumberFormat="1" applyFont="1" applyBorder="1" applyAlignment="1">
      <alignment horizontal="center"/>
    </xf>
    <xf numFmtId="0" fontId="18" fillId="0" borderId="4" xfId="0" applyFont="1" applyBorder="1"/>
    <xf numFmtId="3" fontId="18" fillId="0" borderId="4" xfId="0" applyNumberFormat="1" applyFont="1" applyBorder="1" applyAlignment="1">
      <alignment horizontal="center"/>
    </xf>
    <xf numFmtId="173" fontId="18" fillId="0" borderId="4" xfId="0" applyNumberFormat="1" applyFont="1" applyBorder="1" applyAlignment="1">
      <alignment horizontal="center"/>
    </xf>
    <xf numFmtId="0" fontId="18" fillId="0" borderId="5" xfId="0" applyFont="1" applyBorder="1"/>
    <xf numFmtId="3" fontId="18" fillId="0" borderId="5" xfId="0" applyNumberFormat="1" applyFont="1" applyBorder="1" applyAlignment="1">
      <alignment horizontal="center"/>
    </xf>
    <xf numFmtId="173" fontId="18" fillId="0" borderId="5" xfId="0" applyNumberFormat="1" applyFont="1" applyBorder="1" applyAlignment="1">
      <alignment horizontal="center"/>
    </xf>
    <xf numFmtId="0" fontId="50" fillId="3" borderId="0" xfId="0" applyFont="1" applyFill="1"/>
    <xf numFmtId="0" fontId="51" fillId="3" borderId="0" xfId="0" applyFont="1" applyFill="1"/>
    <xf numFmtId="0" fontId="0" fillId="3" borderId="0" xfId="0" applyFill="1"/>
    <xf numFmtId="0" fontId="53" fillId="3" borderId="0" xfId="0" applyFont="1" applyFill="1" applyAlignment="1">
      <alignment horizontal="center"/>
    </xf>
    <xf numFmtId="0" fontId="54" fillId="3" borderId="0" xfId="0" applyFont="1" applyFill="1" applyAlignment="1">
      <alignment horizontal="center"/>
    </xf>
    <xf numFmtId="0" fontId="53" fillId="9" borderId="0" xfId="0" applyFont="1" applyFill="1" applyAlignment="1">
      <alignment horizontal="center"/>
    </xf>
    <xf numFmtId="0" fontId="54" fillId="9" borderId="0" xfId="0" applyFont="1" applyFill="1" applyAlignment="1">
      <alignment horizontal="center"/>
    </xf>
    <xf numFmtId="0" fontId="52" fillId="6" borderId="0" xfId="0" applyFont="1" applyFill="1" applyAlignment="1">
      <alignment horizontal="center"/>
    </xf>
    <xf numFmtId="0" fontId="53" fillId="3" borderId="22" xfId="0" applyFont="1" applyFill="1" applyBorder="1" applyAlignment="1">
      <alignment horizontal="center"/>
    </xf>
    <xf numFmtId="0" fontId="54" fillId="3" borderId="22" xfId="0" applyFont="1" applyFill="1" applyBorder="1" applyAlignment="1">
      <alignment horizontal="center"/>
    </xf>
    <xf numFmtId="4" fontId="53" fillId="3" borderId="22" xfId="0" applyNumberFormat="1" applyFont="1" applyFill="1" applyBorder="1" applyAlignment="1">
      <alignment horizontal="center"/>
    </xf>
    <xf numFmtId="4" fontId="53" fillId="3" borderId="0" xfId="0" applyNumberFormat="1" applyFont="1" applyFill="1" applyAlignment="1">
      <alignment horizontal="center"/>
    </xf>
    <xf numFmtId="4" fontId="53" fillId="9" borderId="0" xfId="0" applyNumberFormat="1" applyFont="1" applyFill="1" applyAlignment="1">
      <alignment horizontal="center"/>
    </xf>
    <xf numFmtId="0" fontId="53" fillId="9" borderId="23" xfId="0" applyFont="1" applyFill="1" applyBorder="1" applyAlignment="1">
      <alignment horizontal="center"/>
    </xf>
    <xf numFmtId="0" fontId="54" fillId="9" borderId="23" xfId="0" applyFont="1" applyFill="1" applyBorder="1" applyAlignment="1">
      <alignment horizontal="center"/>
    </xf>
    <xf numFmtId="4" fontId="53" fillId="9" borderId="23" xfId="0" applyNumberFormat="1" applyFont="1" applyFill="1" applyBorder="1" applyAlignment="1">
      <alignment horizontal="center"/>
    </xf>
    <xf numFmtId="0" fontId="57" fillId="9" borderId="24" xfId="0" applyFont="1" applyFill="1" applyBorder="1" applyAlignment="1">
      <alignment horizontal="left"/>
    </xf>
    <xf numFmtId="0" fontId="56" fillId="9" borderId="24" xfId="0" applyFont="1" applyFill="1" applyBorder="1" applyAlignment="1">
      <alignment horizontal="center"/>
    </xf>
    <xf numFmtId="0" fontId="58" fillId="9" borderId="24" xfId="0" applyFont="1" applyFill="1" applyBorder="1" applyAlignment="1">
      <alignment horizontal="center"/>
    </xf>
    <xf numFmtId="4" fontId="56" fillId="9" borderId="24" xfId="0" applyNumberFormat="1" applyFont="1" applyFill="1" applyBorder="1" applyAlignment="1">
      <alignment horizontal="center"/>
    </xf>
    <xf numFmtId="0" fontId="25" fillId="3" borderId="0" xfId="0" applyFont="1" applyFill="1"/>
    <xf numFmtId="183" fontId="0" fillId="0" borderId="0" xfId="0" applyNumberFormat="1"/>
    <xf numFmtId="0" fontId="19" fillId="3" borderId="0" xfId="0" applyFont="1" applyFill="1"/>
    <xf numFmtId="0" fontId="29" fillId="3" borderId="0" xfId="0" applyFont="1" applyFill="1" applyAlignment="1">
      <alignment horizontal="center"/>
    </xf>
    <xf numFmtId="0" fontId="59" fillId="6" borderId="0" xfId="0" applyFont="1" applyFill="1"/>
    <xf numFmtId="0" fontId="28" fillId="3" borderId="0" xfId="0" applyFont="1" applyFill="1" applyAlignment="1">
      <alignment horizontal="center"/>
    </xf>
    <xf numFmtId="0" fontId="28" fillId="9" borderId="0" xfId="0" applyFont="1" applyFill="1" applyAlignment="1">
      <alignment horizontal="center"/>
    </xf>
    <xf numFmtId="0" fontId="30" fillId="10" borderId="0" xfId="0" applyFont="1" applyFill="1" applyAlignment="1">
      <alignment horizontal="center"/>
    </xf>
    <xf numFmtId="0" fontId="14" fillId="8" borderId="2" xfId="0" applyFont="1" applyFill="1" applyBorder="1" applyAlignment="1">
      <alignment horizontal="left"/>
    </xf>
    <xf numFmtId="0" fontId="14" fillId="8" borderId="2" xfId="0" applyFont="1" applyFill="1" applyBorder="1" applyAlignment="1">
      <alignment horizontal="center"/>
    </xf>
    <xf numFmtId="0" fontId="14" fillId="8" borderId="27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9" fillId="3" borderId="0" xfId="0" applyFont="1" applyFill="1"/>
    <xf numFmtId="0" fontId="11" fillId="3" borderId="0" xfId="0" applyFont="1" applyFill="1"/>
    <xf numFmtId="0" fontId="0" fillId="6" borderId="0" xfId="0" applyFill="1"/>
    <xf numFmtId="0" fontId="17" fillId="3" borderId="0" xfId="0" applyFont="1" applyFill="1"/>
    <xf numFmtId="184" fontId="39" fillId="7" borderId="0" xfId="0" applyNumberFormat="1" applyFont="1" applyFill="1"/>
    <xf numFmtId="2" fontId="29" fillId="9" borderId="0" xfId="0" applyNumberFormat="1" applyFont="1" applyFill="1" applyAlignment="1">
      <alignment horizontal="center"/>
    </xf>
    <xf numFmtId="1" fontId="29" fillId="3" borderId="0" xfId="0" applyNumberFormat="1" applyFont="1" applyFill="1" applyAlignment="1">
      <alignment horizontal="center"/>
    </xf>
    <xf numFmtId="1" fontId="29" fillId="9" borderId="0" xfId="0" applyNumberFormat="1" applyFont="1" applyFill="1" applyAlignment="1">
      <alignment horizontal="center"/>
    </xf>
    <xf numFmtId="167" fontId="28" fillId="3" borderId="0" xfId="0" applyNumberFormat="1" applyFont="1" applyFill="1" applyAlignment="1">
      <alignment horizontal="center"/>
    </xf>
    <xf numFmtId="167" fontId="28" fillId="9" borderId="0" xfId="0" applyNumberFormat="1" applyFont="1" applyFill="1" applyAlignment="1">
      <alignment horizontal="center"/>
    </xf>
    <xf numFmtId="167" fontId="19" fillId="3" borderId="0" xfId="0" applyNumberFormat="1" applyFont="1" applyFill="1"/>
    <xf numFmtId="167" fontId="14" fillId="10" borderId="0" xfId="0" applyNumberFormat="1" applyFont="1" applyFill="1" applyAlignment="1">
      <alignment horizontal="center"/>
    </xf>
    <xf numFmtId="167" fontId="59" fillId="6" borderId="0" xfId="0" applyNumberFormat="1" applyFont="1" applyFill="1"/>
    <xf numFmtId="0" fontId="47" fillId="10" borderId="0" xfId="0" applyFont="1" applyFill="1" applyAlignment="1">
      <alignment horizontal="center"/>
    </xf>
    <xf numFmtId="0" fontId="62" fillId="10" borderId="0" xfId="0" applyFont="1" applyFill="1" applyAlignment="1">
      <alignment horizontal="center"/>
    </xf>
    <xf numFmtId="167" fontId="62" fillId="10" borderId="0" xfId="0" applyNumberFormat="1" applyFont="1" applyFill="1" applyAlignment="1">
      <alignment horizontal="center"/>
    </xf>
    <xf numFmtId="167" fontId="30" fillId="10" borderId="0" xfId="0" applyNumberFormat="1" applyFont="1" applyFill="1" applyAlignment="1">
      <alignment horizontal="center"/>
    </xf>
    <xf numFmtId="167" fontId="0" fillId="0" borderId="0" xfId="0" applyNumberFormat="1"/>
    <xf numFmtId="183" fontId="28" fillId="3" borderId="0" xfId="0" applyNumberFormat="1" applyFont="1" applyFill="1" applyAlignment="1">
      <alignment horizontal="center"/>
    </xf>
    <xf numFmtId="183" fontId="28" fillId="9" borderId="0" xfId="0" applyNumberFormat="1" applyFont="1" applyFill="1" applyAlignment="1">
      <alignment horizontal="center"/>
    </xf>
    <xf numFmtId="0" fontId="63" fillId="6" borderId="0" xfId="0" applyFont="1" applyFill="1"/>
    <xf numFmtId="0" fontId="64" fillId="3" borderId="0" xfId="0" applyFont="1" applyFill="1"/>
    <xf numFmtId="165" fontId="66" fillId="0" borderId="0" xfId="0" applyNumberFormat="1" applyFont="1" applyAlignment="1">
      <alignment horizontal="center"/>
    </xf>
    <xf numFmtId="44" fontId="65" fillId="7" borderId="0" xfId="3" applyFont="1" applyFill="1" applyBorder="1" applyAlignment="1">
      <alignment horizontal="center"/>
    </xf>
    <xf numFmtId="184" fontId="30" fillId="7" borderId="0" xfId="0" applyNumberFormat="1" applyFont="1" applyFill="1" applyAlignment="1">
      <alignment horizontal="center"/>
    </xf>
    <xf numFmtId="0" fontId="67" fillId="3" borderId="0" xfId="0" applyFont="1" applyFill="1"/>
    <xf numFmtId="183" fontId="68" fillId="3" borderId="0" xfId="0" applyNumberFormat="1" applyFont="1" applyFill="1" applyAlignment="1">
      <alignment horizontal="center"/>
    </xf>
    <xf numFmtId="183" fontId="68" fillId="9" borderId="0" xfId="0" applyNumberFormat="1" applyFont="1" applyFill="1" applyAlignment="1">
      <alignment horizontal="center"/>
    </xf>
    <xf numFmtId="167" fontId="69" fillId="6" borderId="0" xfId="0" applyNumberFormat="1" applyFont="1" applyFill="1"/>
    <xf numFmtId="9" fontId="68" fillId="3" borderId="0" xfId="2" applyFont="1" applyFill="1" applyAlignment="1">
      <alignment horizontal="center"/>
    </xf>
    <xf numFmtId="9" fontId="68" fillId="9" borderId="0" xfId="2" applyFont="1" applyFill="1" applyAlignment="1">
      <alignment horizontal="center"/>
    </xf>
    <xf numFmtId="0" fontId="70" fillId="3" borderId="0" xfId="0" applyFont="1" applyFill="1"/>
    <xf numFmtId="0" fontId="47" fillId="9" borderId="0" xfId="0" applyFont="1" applyFill="1"/>
    <xf numFmtId="0" fontId="47" fillId="9" borderId="0" xfId="0" applyFont="1" applyFill="1" applyAlignment="1">
      <alignment horizontal="center"/>
    </xf>
    <xf numFmtId="183" fontId="47" fillId="9" borderId="0" xfId="0" applyNumberFormat="1" applyFont="1" applyFill="1" applyAlignment="1">
      <alignment horizontal="center"/>
    </xf>
    <xf numFmtId="0" fontId="60" fillId="0" borderId="0" xfId="0" applyFont="1"/>
    <xf numFmtId="9" fontId="47" fillId="9" borderId="0" xfId="2" applyFont="1" applyFill="1" applyAlignment="1">
      <alignment horizontal="center"/>
    </xf>
    <xf numFmtId="167" fontId="47" fillId="9" borderId="0" xfId="0" applyNumberFormat="1" applyFont="1" applyFill="1" applyAlignment="1">
      <alignment horizontal="center"/>
    </xf>
    <xf numFmtId="9" fontId="5" fillId="3" borderId="0" xfId="2" applyFont="1" applyFill="1"/>
    <xf numFmtId="9" fontId="14" fillId="8" borderId="2" xfId="2" applyFont="1" applyFill="1" applyBorder="1" applyAlignment="1">
      <alignment horizontal="center"/>
    </xf>
    <xf numFmtId="9" fontId="61" fillId="3" borderId="0" xfId="2" applyFont="1" applyFill="1" applyAlignment="1">
      <alignment horizontal="center"/>
    </xf>
    <xf numFmtId="9" fontId="61" fillId="9" borderId="0" xfId="2" applyFont="1" applyFill="1" applyAlignment="1">
      <alignment horizontal="center"/>
    </xf>
    <xf numFmtId="9" fontId="19" fillId="3" borderId="0" xfId="2" applyFont="1" applyFill="1"/>
    <xf numFmtId="9" fontId="62" fillId="10" borderId="0" xfId="2" applyFont="1" applyFill="1" applyAlignment="1">
      <alignment horizontal="center"/>
    </xf>
    <xf numFmtId="9" fontId="59" fillId="6" borderId="0" xfId="2" applyFont="1" applyFill="1"/>
    <xf numFmtId="9" fontId="28" fillId="3" borderId="0" xfId="2" applyFont="1" applyFill="1" applyAlignment="1">
      <alignment horizontal="center"/>
    </xf>
    <xf numFmtId="9" fontId="28" fillId="9" borderId="0" xfId="2" applyFont="1" applyFill="1" applyAlignment="1">
      <alignment horizontal="center"/>
    </xf>
    <xf numFmtId="185" fontId="68" fillId="3" borderId="0" xfId="0" applyNumberFormat="1" applyFont="1" applyFill="1" applyAlignment="1">
      <alignment horizontal="center"/>
    </xf>
    <xf numFmtId="185" fontId="28" fillId="9" borderId="0" xfId="0" applyNumberFormat="1" applyFont="1" applyFill="1" applyAlignment="1">
      <alignment horizontal="center"/>
    </xf>
    <xf numFmtId="185" fontId="28" fillId="3" borderId="0" xfId="0" applyNumberFormat="1" applyFont="1" applyFill="1" applyAlignment="1">
      <alignment horizontal="center"/>
    </xf>
    <xf numFmtId="185" fontId="19" fillId="3" borderId="0" xfId="0" applyNumberFormat="1" applyFont="1" applyFill="1"/>
    <xf numFmtId="185" fontId="47" fillId="10" borderId="0" xfId="0" applyNumberFormat="1" applyFont="1" applyFill="1" applyAlignment="1">
      <alignment horizontal="center"/>
    </xf>
    <xf numFmtId="0" fontId="47" fillId="8" borderId="2" xfId="0" applyFont="1" applyFill="1" applyBorder="1" applyAlignment="1">
      <alignment horizontal="left"/>
    </xf>
    <xf numFmtId="0" fontId="68" fillId="3" borderId="0" xfId="0" applyFont="1" applyFill="1"/>
    <xf numFmtId="0" fontId="68" fillId="9" borderId="0" xfId="0" applyFont="1" applyFill="1"/>
    <xf numFmtId="183" fontId="28" fillId="3" borderId="0" xfId="2" applyNumberFormat="1" applyFont="1" applyFill="1" applyAlignment="1">
      <alignment horizontal="center"/>
    </xf>
    <xf numFmtId="183" fontId="47" fillId="9" borderId="0" xfId="2" applyNumberFormat="1" applyFont="1" applyFill="1" applyAlignment="1">
      <alignment horizontal="center"/>
    </xf>
    <xf numFmtId="183" fontId="28" fillId="9" borderId="0" xfId="2" applyNumberFormat="1" applyFont="1" applyFill="1" applyAlignment="1">
      <alignment horizontal="center"/>
    </xf>
    <xf numFmtId="183" fontId="28" fillId="3" borderId="0" xfId="0" applyNumberFormat="1" applyFont="1" applyFill="1"/>
    <xf numFmtId="183" fontId="28" fillId="9" borderId="0" xfId="0" applyNumberFormat="1" applyFont="1" applyFill="1"/>
    <xf numFmtId="183" fontId="68" fillId="3" borderId="0" xfId="0" applyNumberFormat="1" applyFont="1" applyFill="1"/>
    <xf numFmtId="0" fontId="63" fillId="6" borderId="8" xfId="0" applyFont="1" applyFill="1" applyBorder="1"/>
    <xf numFmtId="0" fontId="71" fillId="8" borderId="8" xfId="0" applyFont="1" applyFill="1" applyBorder="1"/>
    <xf numFmtId="9" fontId="19" fillId="9" borderId="7" xfId="2" applyFont="1" applyFill="1" applyBorder="1" applyAlignment="1">
      <alignment horizontal="center"/>
    </xf>
    <xf numFmtId="9" fontId="19" fillId="0" borderId="7" xfId="2" applyFont="1" applyFill="1" applyBorder="1" applyAlignment="1">
      <alignment horizontal="center"/>
    </xf>
    <xf numFmtId="0" fontId="72" fillId="9" borderId="8" xfId="0" applyFont="1" applyFill="1" applyBorder="1"/>
    <xf numFmtId="0" fontId="72" fillId="0" borderId="8" xfId="0" applyFont="1" applyBorder="1"/>
    <xf numFmtId="164" fontId="14" fillId="10" borderId="30" xfId="0" applyNumberFormat="1" applyFont="1" applyFill="1" applyBorder="1" applyAlignment="1">
      <alignment horizontal="left"/>
    </xf>
    <xf numFmtId="164" fontId="14" fillId="10" borderId="31" xfId="0" applyNumberFormat="1" applyFont="1" applyFill="1" applyBorder="1" applyAlignment="1">
      <alignment horizontal="center"/>
    </xf>
    <xf numFmtId="0" fontId="73" fillId="8" borderId="0" xfId="0" applyFont="1" applyFill="1" applyAlignment="1">
      <alignment horizontal="center"/>
    </xf>
    <xf numFmtId="0" fontId="73" fillId="8" borderId="7" xfId="0" applyFont="1" applyFill="1" applyBorder="1" applyAlignment="1">
      <alignment horizontal="center"/>
    </xf>
    <xf numFmtId="183" fontId="66" fillId="0" borderId="0" xfId="0" applyNumberFormat="1" applyFont="1" applyAlignment="1">
      <alignment horizontal="center"/>
    </xf>
    <xf numFmtId="183" fontId="66" fillId="9" borderId="0" xfId="0" applyNumberFormat="1" applyFont="1" applyFill="1" applyAlignment="1">
      <alignment horizontal="center"/>
    </xf>
    <xf numFmtId="183" fontId="66" fillId="0" borderId="7" xfId="2" applyNumberFormat="1" applyFont="1" applyFill="1" applyBorder="1" applyAlignment="1">
      <alignment horizontal="center"/>
    </xf>
    <xf numFmtId="0" fontId="75" fillId="6" borderId="0" xfId="0" applyFont="1" applyFill="1"/>
    <xf numFmtId="183" fontId="75" fillId="6" borderId="0" xfId="0" applyNumberFormat="1" applyFont="1" applyFill="1"/>
    <xf numFmtId="0" fontId="72" fillId="0" borderId="9" xfId="0" applyFont="1" applyBorder="1"/>
    <xf numFmtId="183" fontId="66" fillId="0" borderId="10" xfId="0" applyNumberFormat="1" applyFont="1" applyBorder="1" applyAlignment="1">
      <alignment horizontal="center"/>
    </xf>
    <xf numFmtId="183" fontId="66" fillId="0" borderId="11" xfId="2" applyNumberFormat="1" applyFont="1" applyFill="1" applyBorder="1" applyAlignment="1">
      <alignment horizontal="center"/>
    </xf>
    <xf numFmtId="0" fontId="68" fillId="12" borderId="0" xfId="0" applyFont="1" applyFill="1"/>
    <xf numFmtId="183" fontId="28" fillId="12" borderId="0" xfId="0" applyNumberFormat="1" applyFont="1" applyFill="1"/>
    <xf numFmtId="9" fontId="72" fillId="0" borderId="7" xfId="2" applyFont="1" applyFill="1" applyBorder="1" applyAlignment="1">
      <alignment horizontal="center"/>
    </xf>
    <xf numFmtId="10" fontId="14" fillId="10" borderId="29" xfId="2" applyNumberFormat="1" applyFont="1" applyFill="1" applyBorder="1" applyAlignment="1">
      <alignment horizontal="center"/>
    </xf>
    <xf numFmtId="0" fontId="3" fillId="0" borderId="0" xfId="1"/>
    <xf numFmtId="3" fontId="45" fillId="3" borderId="0" xfId="0" applyNumberFormat="1" applyFont="1" applyFill="1"/>
    <xf numFmtId="3" fontId="5" fillId="0" borderId="0" xfId="0" applyNumberFormat="1" applyFont="1"/>
    <xf numFmtId="173" fontId="29" fillId="0" borderId="15" xfId="0" applyNumberFormat="1" applyFont="1" applyBorder="1" applyAlignment="1">
      <alignment horizontal="center"/>
    </xf>
    <xf numFmtId="173" fontId="29" fillId="9" borderId="15" xfId="0" applyNumberFormat="1" applyFont="1" applyFill="1" applyBorder="1" applyAlignment="1">
      <alignment horizontal="center"/>
    </xf>
    <xf numFmtId="173" fontId="29" fillId="9" borderId="18" xfId="0" applyNumberFormat="1" applyFont="1" applyFill="1" applyBorder="1" applyAlignment="1">
      <alignment horizontal="center"/>
    </xf>
    <xf numFmtId="3" fontId="61" fillId="3" borderId="0" xfId="0" applyNumberFormat="1" applyFont="1" applyFill="1" applyAlignment="1">
      <alignment horizontal="center"/>
    </xf>
    <xf numFmtId="3" fontId="61" fillId="9" borderId="0" xfId="0" applyNumberFormat="1" applyFont="1" applyFill="1" applyAlignment="1">
      <alignment horizontal="center"/>
    </xf>
    <xf numFmtId="0" fontId="49" fillId="0" borderId="0" xfId="0" applyFont="1"/>
    <xf numFmtId="0" fontId="76" fillId="0" borderId="0" xfId="0" applyFont="1"/>
    <xf numFmtId="9" fontId="76" fillId="10" borderId="0" xfId="0" applyNumberFormat="1" applyFont="1" applyFill="1" applyAlignment="1">
      <alignment horizontal="left"/>
    </xf>
    <xf numFmtId="0" fontId="65" fillId="10" borderId="0" xfId="0" applyFont="1" applyFill="1" applyAlignment="1">
      <alignment horizontal="center"/>
    </xf>
    <xf numFmtId="1" fontId="65" fillId="10" borderId="0" xfId="0" applyNumberFormat="1" applyFont="1" applyFill="1" applyAlignment="1">
      <alignment horizontal="center"/>
    </xf>
    <xf numFmtId="2" fontId="65" fillId="10" borderId="0" xfId="0" applyNumberFormat="1" applyFont="1" applyFill="1" applyAlignment="1">
      <alignment horizontal="center"/>
    </xf>
    <xf numFmtId="2" fontId="19" fillId="3" borderId="0" xfId="0" applyNumberFormat="1" applyFont="1" applyFill="1"/>
    <xf numFmtId="2" fontId="47" fillId="10" borderId="0" xfId="0" applyNumberFormat="1" applyFont="1" applyFill="1" applyAlignment="1">
      <alignment horizontal="center"/>
    </xf>
    <xf numFmtId="0" fontId="77" fillId="0" borderId="0" xfId="0" applyFont="1"/>
    <xf numFmtId="0" fontId="78" fillId="3" borderId="0" xfId="0" applyFont="1" applyFill="1" applyAlignment="1">
      <alignment horizontal="center"/>
    </xf>
    <xf numFmtId="0" fontId="28" fillId="3" borderId="34" xfId="0" applyFont="1" applyFill="1" applyBorder="1"/>
    <xf numFmtId="0" fontId="28" fillId="3" borderId="34" xfId="0" applyFont="1" applyFill="1" applyBorder="1" applyAlignment="1">
      <alignment horizontal="center"/>
    </xf>
    <xf numFmtId="2" fontId="29" fillId="3" borderId="34" xfId="0" applyNumberFormat="1" applyFont="1" applyFill="1" applyBorder="1" applyAlignment="1">
      <alignment horizontal="center"/>
    </xf>
    <xf numFmtId="0" fontId="29" fillId="3" borderId="34" xfId="0" applyFont="1" applyFill="1" applyBorder="1" applyAlignment="1">
      <alignment horizontal="center"/>
    </xf>
    <xf numFmtId="1" fontId="29" fillId="3" borderId="34" xfId="0" applyNumberFormat="1" applyFont="1" applyFill="1" applyBorder="1" applyAlignment="1">
      <alignment horizontal="center"/>
    </xf>
    <xf numFmtId="167" fontId="28" fillId="3" borderId="34" xfId="0" applyNumberFormat="1" applyFont="1" applyFill="1" applyBorder="1" applyAlignment="1">
      <alignment horizontal="center"/>
    </xf>
    <xf numFmtId="2" fontId="61" fillId="3" borderId="0" xfId="0" applyNumberFormat="1" applyFont="1" applyFill="1" applyAlignment="1">
      <alignment horizontal="center"/>
    </xf>
    <xf numFmtId="2" fontId="61" fillId="9" borderId="0" xfId="0" applyNumberFormat="1" applyFont="1" applyFill="1" applyAlignment="1">
      <alignment horizontal="center"/>
    </xf>
    <xf numFmtId="2" fontId="61" fillId="3" borderId="34" xfId="0" applyNumberFormat="1" applyFont="1" applyFill="1" applyBorder="1" applyAlignment="1">
      <alignment horizontal="center"/>
    </xf>
    <xf numFmtId="2" fontId="62" fillId="10" borderId="0" xfId="0" applyNumberFormat="1" applyFont="1" applyFill="1" applyAlignment="1">
      <alignment horizontal="center"/>
    </xf>
    <xf numFmtId="2" fontId="59" fillId="6" borderId="0" xfId="0" applyNumberFormat="1" applyFont="1" applyFill="1"/>
    <xf numFmtId="2" fontId="28" fillId="3" borderId="0" xfId="0" applyNumberFormat="1" applyFont="1" applyFill="1" applyAlignment="1">
      <alignment horizontal="center"/>
    </xf>
    <xf numFmtId="2" fontId="47" fillId="9" borderId="0" xfId="0" applyNumberFormat="1" applyFont="1" applyFill="1" applyAlignment="1">
      <alignment horizontal="center"/>
    </xf>
    <xf numFmtId="2" fontId="28" fillId="9" borderId="0" xfId="0" applyNumberFormat="1" applyFont="1" applyFill="1" applyAlignment="1">
      <alignment horizontal="center"/>
    </xf>
    <xf numFmtId="0" fontId="81" fillId="0" borderId="0" xfId="0" applyFont="1"/>
    <xf numFmtId="0" fontId="0" fillId="8" borderId="10" xfId="0" applyFill="1" applyBorder="1"/>
    <xf numFmtId="0" fontId="28" fillId="3" borderId="0" xfId="0" applyFont="1" applyFill="1" applyAlignment="1">
      <alignment horizontal="left"/>
    </xf>
    <xf numFmtId="168" fontId="29" fillId="3" borderId="0" xfId="0" applyNumberFormat="1" applyFont="1" applyFill="1" applyAlignment="1">
      <alignment horizontal="center"/>
    </xf>
    <xf numFmtId="166" fontId="28" fillId="3" borderId="0" xfId="0" applyNumberFormat="1" applyFont="1" applyFill="1" applyAlignment="1">
      <alignment horizontal="center"/>
    </xf>
    <xf numFmtId="0" fontId="28" fillId="9" borderId="0" xfId="0" applyFont="1" applyFill="1" applyAlignment="1">
      <alignment horizontal="left"/>
    </xf>
    <xf numFmtId="168" fontId="29" fillId="9" borderId="0" xfId="0" applyNumberFormat="1" applyFont="1" applyFill="1" applyAlignment="1">
      <alignment horizontal="center"/>
    </xf>
    <xf numFmtId="166" fontId="28" fillId="9" borderId="0" xfId="0" applyNumberFormat="1" applyFont="1" applyFill="1" applyAlignment="1">
      <alignment horizontal="center"/>
    </xf>
    <xf numFmtId="0" fontId="14" fillId="10" borderId="3" xfId="0" applyFont="1" applyFill="1" applyBorder="1" applyAlignment="1">
      <alignment horizontal="left"/>
    </xf>
    <xf numFmtId="0" fontId="60" fillId="10" borderId="3" xfId="0" applyFont="1" applyFill="1" applyBorder="1"/>
    <xf numFmtId="0" fontId="82" fillId="10" borderId="3" xfId="0" applyFont="1" applyFill="1" applyBorder="1" applyAlignment="1">
      <alignment horizontal="center"/>
    </xf>
    <xf numFmtId="165" fontId="14" fillId="10" borderId="3" xfId="0" applyNumberFormat="1" applyFont="1" applyFill="1" applyBorder="1" applyAlignment="1">
      <alignment horizontal="center"/>
    </xf>
    <xf numFmtId="10" fontId="0" fillId="0" borderId="0" xfId="0" applyNumberFormat="1"/>
    <xf numFmtId="3" fontId="14" fillId="3" borderId="3" xfId="0" applyNumberFormat="1" applyFont="1" applyFill="1" applyBorder="1" applyAlignment="1">
      <alignment horizontal="center"/>
    </xf>
    <xf numFmtId="166" fontId="14" fillId="3" borderId="3" xfId="0" applyNumberFormat="1" applyFont="1" applyFill="1" applyBorder="1" applyAlignment="1">
      <alignment horizontal="center"/>
    </xf>
    <xf numFmtId="3" fontId="29" fillId="3" borderId="0" xfId="0" applyNumberFormat="1" applyFont="1" applyFill="1" applyAlignment="1">
      <alignment horizontal="center"/>
    </xf>
    <xf numFmtId="0" fontId="83" fillId="10" borderId="3" xfId="0" applyFont="1" applyFill="1" applyBorder="1"/>
    <xf numFmtId="0" fontId="0" fillId="3" borderId="10" xfId="0" applyFill="1" applyBorder="1"/>
    <xf numFmtId="9" fontId="29" fillId="3" borderId="0" xfId="0" applyNumberFormat="1" applyFont="1" applyFill="1" applyAlignment="1">
      <alignment horizontal="center"/>
    </xf>
    <xf numFmtId="9" fontId="29" fillId="9" borderId="0" xfId="0" applyNumberFormat="1" applyFont="1" applyFill="1" applyAlignment="1">
      <alignment horizontal="center"/>
    </xf>
    <xf numFmtId="165" fontId="30" fillId="10" borderId="3" xfId="0" applyNumberFormat="1" applyFont="1" applyFill="1" applyBorder="1" applyAlignment="1">
      <alignment horizontal="center"/>
    </xf>
    <xf numFmtId="166" fontId="29" fillId="3" borderId="0" xfId="0" applyNumberFormat="1" applyFont="1" applyFill="1" applyAlignment="1">
      <alignment horizontal="center"/>
    </xf>
    <xf numFmtId="3" fontId="30" fillId="10" borderId="3" xfId="0" applyNumberFormat="1" applyFont="1" applyFill="1" applyBorder="1" applyAlignment="1">
      <alignment horizontal="center"/>
    </xf>
    <xf numFmtId="173" fontId="29" fillId="3" borderId="0" xfId="0" applyNumberFormat="1" applyFont="1" applyFill="1" applyAlignment="1">
      <alignment horizontal="center"/>
    </xf>
    <xf numFmtId="173" fontId="30" fillId="10" borderId="3" xfId="0" applyNumberFormat="1" applyFont="1" applyFill="1" applyBorder="1" applyAlignment="1">
      <alignment horizontal="center"/>
    </xf>
    <xf numFmtId="168" fontId="66" fillId="3" borderId="0" xfId="0" applyNumberFormat="1" applyFont="1" applyFill="1" applyAlignment="1">
      <alignment horizontal="center"/>
    </xf>
    <xf numFmtId="168" fontId="66" fillId="9" borderId="0" xfId="0" applyNumberFormat="1" applyFont="1" applyFill="1" applyAlignment="1">
      <alignment horizontal="center"/>
    </xf>
    <xf numFmtId="173" fontId="61" fillId="3" borderId="0" xfId="0" applyNumberFormat="1" applyFont="1" applyFill="1" applyAlignment="1">
      <alignment horizontal="center"/>
    </xf>
    <xf numFmtId="173" fontId="61" fillId="9" borderId="1" xfId="0" applyNumberFormat="1" applyFont="1" applyFill="1" applyBorder="1" applyAlignment="1">
      <alignment horizontal="center"/>
    </xf>
    <xf numFmtId="3" fontId="68" fillId="3" borderId="0" xfId="0" applyNumberFormat="1" applyFont="1" applyFill="1" applyAlignment="1">
      <alignment horizontal="center"/>
    </xf>
    <xf numFmtId="0" fontId="84" fillId="10" borderId="3" xfId="0" applyFont="1" applyFill="1" applyBorder="1" applyAlignment="1">
      <alignment horizontal="left"/>
    </xf>
    <xf numFmtId="10" fontId="14" fillId="10" borderId="3" xfId="2" applyNumberFormat="1" applyFont="1" applyFill="1" applyBorder="1" applyAlignment="1">
      <alignment horizontal="center"/>
    </xf>
    <xf numFmtId="0" fontId="68" fillId="0" borderId="0" xfId="0" applyFont="1"/>
    <xf numFmtId="0" fontId="64" fillId="0" borderId="0" xfId="0" applyFont="1"/>
    <xf numFmtId="0" fontId="50" fillId="0" borderId="0" xfId="0" applyFont="1"/>
    <xf numFmtId="0" fontId="53" fillId="0" borderId="0" xfId="0" applyFont="1"/>
    <xf numFmtId="0" fontId="51" fillId="0" borderId="0" xfId="0" applyFont="1" applyAlignment="1">
      <alignment horizontal="right"/>
    </xf>
    <xf numFmtId="0" fontId="53" fillId="9" borderId="35" xfId="0" applyFont="1" applyFill="1" applyBorder="1"/>
    <xf numFmtId="0" fontId="56" fillId="10" borderId="4" xfId="0" applyFont="1" applyFill="1" applyBorder="1"/>
    <xf numFmtId="0" fontId="52" fillId="6" borderId="0" xfId="0" applyFont="1" applyFill="1"/>
    <xf numFmtId="0" fontId="53" fillId="0" borderId="36" xfId="0" applyFont="1" applyBorder="1"/>
    <xf numFmtId="10" fontId="85" fillId="0" borderId="0" xfId="2" applyNumberFormat="1" applyFont="1" applyAlignment="1">
      <alignment horizontal="center"/>
    </xf>
    <xf numFmtId="186" fontId="74" fillId="0" borderId="36" xfId="4" applyNumberFormat="1" applyFont="1" applyBorder="1" applyAlignment="1">
      <alignment horizontal="center"/>
    </xf>
    <xf numFmtId="186" fontId="53" fillId="9" borderId="35" xfId="4" applyNumberFormat="1" applyFont="1" applyFill="1" applyBorder="1" applyAlignment="1">
      <alignment horizontal="center"/>
    </xf>
    <xf numFmtId="186" fontId="0" fillId="0" borderId="0" xfId="4" applyNumberFormat="1" applyFont="1"/>
    <xf numFmtId="186" fontId="74" fillId="0" borderId="0" xfId="4" applyNumberFormat="1" applyFont="1" applyAlignment="1">
      <alignment horizontal="center"/>
    </xf>
    <xf numFmtId="186" fontId="74" fillId="9" borderId="35" xfId="4" applyNumberFormat="1" applyFont="1" applyFill="1" applyBorder="1" applyAlignment="1">
      <alignment horizontal="center"/>
    </xf>
    <xf numFmtId="187" fontId="74" fillId="0" borderId="36" xfId="4" applyNumberFormat="1" applyFont="1" applyBorder="1" applyAlignment="1">
      <alignment horizontal="center"/>
    </xf>
    <xf numFmtId="187" fontId="53" fillId="9" borderId="35" xfId="4" applyNumberFormat="1" applyFont="1" applyFill="1" applyBorder="1" applyAlignment="1">
      <alignment horizontal="center"/>
    </xf>
    <xf numFmtId="187" fontId="0" fillId="0" borderId="0" xfId="4" applyNumberFormat="1" applyFont="1"/>
    <xf numFmtId="187" fontId="74" fillId="0" borderId="0" xfId="4" applyNumberFormat="1" applyFont="1" applyAlignment="1">
      <alignment horizontal="center"/>
    </xf>
    <xf numFmtId="187" fontId="74" fillId="9" borderId="35" xfId="4" applyNumberFormat="1" applyFont="1" applyFill="1" applyBorder="1" applyAlignment="1">
      <alignment horizontal="center"/>
    </xf>
    <xf numFmtId="187" fontId="56" fillId="10" borderId="4" xfId="4" applyNumberFormat="1" applyFont="1" applyFill="1" applyBorder="1" applyAlignment="1">
      <alignment horizontal="center"/>
    </xf>
    <xf numFmtId="10" fontId="0" fillId="0" borderId="0" xfId="2" applyNumberFormat="1" applyFont="1"/>
    <xf numFmtId="10" fontId="14" fillId="10" borderId="3" xfId="0" applyNumberFormat="1" applyFont="1" applyFill="1" applyBorder="1" applyAlignment="1">
      <alignment horizontal="center"/>
    </xf>
    <xf numFmtId="173" fontId="76" fillId="9" borderId="0" xfId="0" applyNumberFormat="1" applyFont="1" applyFill="1" applyAlignment="1">
      <alignment horizontal="left"/>
    </xf>
    <xf numFmtId="49" fontId="86" fillId="7" borderId="0" xfId="0" applyNumberFormat="1" applyFont="1" applyFill="1"/>
    <xf numFmtId="164" fontId="5" fillId="0" borderId="0" xfId="0" applyNumberFormat="1" applyFont="1"/>
    <xf numFmtId="0" fontId="13" fillId="6" borderId="0" xfId="0" applyFont="1" applyFill="1" applyAlignment="1">
      <alignment horizontal="center"/>
    </xf>
    <xf numFmtId="0" fontId="47" fillId="8" borderId="2" xfId="0" applyFont="1" applyFill="1" applyBorder="1" applyAlignment="1">
      <alignment horizontal="center"/>
    </xf>
    <xf numFmtId="0" fontId="47" fillId="8" borderId="27" xfId="0" applyFont="1" applyFill="1" applyBorder="1" applyAlignment="1">
      <alignment horizontal="center"/>
    </xf>
    <xf numFmtId="44" fontId="28" fillId="3" borderId="0" xfId="3" applyFont="1" applyFill="1" applyAlignment="1">
      <alignment horizontal="center"/>
    </xf>
    <xf numFmtId="44" fontId="28" fillId="9" borderId="0" xfId="3" applyFont="1" applyFill="1" applyAlignment="1">
      <alignment horizontal="center"/>
    </xf>
    <xf numFmtId="44" fontId="28" fillId="3" borderId="34" xfId="3" applyFont="1" applyFill="1" applyBorder="1" applyAlignment="1">
      <alignment horizontal="center"/>
    </xf>
    <xf numFmtId="44" fontId="19" fillId="3" borderId="0" xfId="3" applyFont="1" applyFill="1"/>
    <xf numFmtId="44" fontId="14" fillId="10" borderId="0" xfId="3" applyFont="1" applyFill="1" applyAlignment="1">
      <alignment horizontal="center"/>
    </xf>
    <xf numFmtId="44" fontId="59" fillId="6" borderId="0" xfId="3" applyFont="1" applyFill="1"/>
    <xf numFmtId="44" fontId="47" fillId="9" borderId="0" xfId="3" applyFont="1" applyFill="1" applyAlignment="1">
      <alignment horizontal="center"/>
    </xf>
    <xf numFmtId="44" fontId="0" fillId="0" borderId="0" xfId="3" applyFont="1"/>
    <xf numFmtId="44" fontId="69" fillId="6" borderId="0" xfId="3" applyFont="1" applyFill="1"/>
    <xf numFmtId="0" fontId="38" fillId="0" borderId="0" xfId="0" applyFont="1"/>
    <xf numFmtId="10" fontId="12" fillId="7" borderId="0" xfId="0" applyNumberFormat="1" applyFont="1" applyFill="1" applyAlignment="1">
      <alignment horizontal="right"/>
    </xf>
    <xf numFmtId="166" fontId="12" fillId="7" borderId="0" xfId="0" applyNumberFormat="1" applyFont="1" applyFill="1" applyAlignment="1">
      <alignment horizontal="right"/>
    </xf>
    <xf numFmtId="0" fontId="38" fillId="0" borderId="0" xfId="0" applyFont="1" applyAlignment="1">
      <alignment horizontal="center"/>
    </xf>
    <xf numFmtId="164" fontId="38" fillId="9" borderId="0" xfId="0" applyNumberFormat="1" applyFont="1" applyFill="1"/>
    <xf numFmtId="168" fontId="12" fillId="7" borderId="0" xfId="0" applyNumberFormat="1" applyFont="1" applyFill="1" applyAlignment="1">
      <alignment horizontal="right"/>
    </xf>
    <xf numFmtId="166" fontId="88" fillId="7" borderId="0" xfId="0" applyNumberFormat="1" applyFont="1" applyFill="1" applyAlignment="1">
      <alignment horizontal="right"/>
    </xf>
    <xf numFmtId="0" fontId="87" fillId="0" borderId="0" xfId="0" applyFont="1"/>
    <xf numFmtId="0" fontId="63" fillId="6" borderId="32" xfId="0" applyFont="1" applyFill="1" applyBorder="1" applyAlignment="1">
      <alignment horizontal="center"/>
    </xf>
    <xf numFmtId="0" fontId="13" fillId="6" borderId="33" xfId="0" applyFont="1" applyFill="1" applyBorder="1" applyAlignment="1">
      <alignment horizontal="center"/>
    </xf>
    <xf numFmtId="0" fontId="13" fillId="6" borderId="32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47" fillId="8" borderId="25" xfId="0" applyFont="1" applyFill="1" applyBorder="1" applyAlignment="1">
      <alignment horizontal="center"/>
    </xf>
    <xf numFmtId="0" fontId="14" fillId="8" borderId="26" xfId="0" applyFont="1" applyFill="1" applyBorder="1" applyAlignment="1">
      <alignment horizontal="center"/>
    </xf>
    <xf numFmtId="44" fontId="68" fillId="9" borderId="23" xfId="3" applyFont="1" applyFill="1" applyBorder="1" applyAlignment="1">
      <alignment horizontal="center" vertical="center" wrapText="1"/>
    </xf>
    <xf numFmtId="44" fontId="28" fillId="9" borderId="23" xfId="3" applyFont="1" applyFill="1" applyBorder="1" applyAlignment="1">
      <alignment horizontal="center" vertical="center" wrapText="1"/>
    </xf>
    <xf numFmtId="44" fontId="28" fillId="9" borderId="0" xfId="3" applyFont="1" applyFill="1" applyAlignment="1">
      <alignment horizontal="center" vertical="center" wrapText="1"/>
    </xf>
    <xf numFmtId="0" fontId="63" fillId="6" borderId="1" xfId="0" applyFont="1" applyFill="1" applyBorder="1" applyAlignment="1">
      <alignment horizontal="center"/>
    </xf>
    <xf numFmtId="0" fontId="14" fillId="8" borderId="25" xfId="0" applyFont="1" applyFill="1" applyBorder="1" applyAlignment="1">
      <alignment horizontal="center"/>
    </xf>
    <xf numFmtId="9" fontId="63" fillId="6" borderId="1" xfId="2" applyFont="1" applyFill="1" applyBorder="1" applyAlignment="1">
      <alignment horizontal="center"/>
    </xf>
    <xf numFmtId="0" fontId="14" fillId="10" borderId="3" xfId="0" applyFont="1" applyFill="1" applyBorder="1" applyAlignment="1">
      <alignment horizontal="left"/>
    </xf>
    <xf numFmtId="0" fontId="32" fillId="3" borderId="0" xfId="0" applyFont="1" applyFill="1"/>
    <xf numFmtId="0" fontId="28" fillId="3" borderId="0" xfId="0" applyFont="1" applyFill="1"/>
    <xf numFmtId="0" fontId="64" fillId="3" borderId="0" xfId="0" applyFont="1" applyFill="1"/>
    <xf numFmtId="0" fontId="68" fillId="3" borderId="0" xfId="0" applyFont="1" applyFill="1"/>
    <xf numFmtId="0" fontId="28" fillId="3" borderId="22" xfId="0" applyFont="1" applyFill="1" applyBorder="1" applyAlignment="1">
      <alignment horizontal="left"/>
    </xf>
    <xf numFmtId="0" fontId="28" fillId="9" borderId="35" xfId="0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8" fillId="3" borderId="0" xfId="0" applyFont="1" applyFill="1" applyAlignment="1">
      <alignment horizontal="left"/>
    </xf>
    <xf numFmtId="0" fontId="28" fillId="3" borderId="35" xfId="0" applyFont="1" applyFill="1" applyBorder="1" applyAlignment="1">
      <alignment horizontal="left"/>
    </xf>
    <xf numFmtId="0" fontId="47" fillId="3" borderId="0" xfId="0" applyFont="1" applyFill="1"/>
    <xf numFmtId="0" fontId="17" fillId="3" borderId="0" xfId="0" applyFont="1" applyFill="1"/>
    <xf numFmtId="0" fontId="13" fillId="6" borderId="0" xfId="0" applyFont="1" applyFill="1"/>
    <xf numFmtId="0" fontId="77" fillId="3" borderId="0" xfId="0" applyFont="1" applyFill="1"/>
    <xf numFmtId="0" fontId="33" fillId="3" borderId="0" xfId="0" applyFont="1" applyFill="1"/>
    <xf numFmtId="0" fontId="21" fillId="3" borderId="0" xfId="0" applyFont="1" applyFill="1"/>
    <xf numFmtId="0" fontId="36" fillId="6" borderId="0" xfId="0" applyFont="1" applyFill="1" applyAlignment="1">
      <alignment horizontal="center"/>
    </xf>
    <xf numFmtId="0" fontId="55" fillId="3" borderId="22" xfId="0" applyFont="1" applyFill="1" applyBorder="1" applyAlignment="1">
      <alignment horizontal="left" vertical="center"/>
    </xf>
    <xf numFmtId="0" fontId="53" fillId="9" borderId="0" xfId="0" applyFont="1" applyFill="1" applyAlignment="1">
      <alignment horizontal="left" vertical="center"/>
    </xf>
    <xf numFmtId="0" fontId="53" fillId="3" borderId="0" xfId="0" applyFont="1" applyFill="1" applyAlignment="1">
      <alignment horizontal="left" vertical="center"/>
    </xf>
    <xf numFmtId="0" fontId="56" fillId="9" borderId="23" xfId="0" applyFont="1" applyFill="1" applyBorder="1" applyAlignment="1">
      <alignment horizontal="left" vertical="center"/>
    </xf>
  </cellXfs>
  <cellStyles count="5">
    <cellStyle name="Comma" xfId="4" builtinId="3"/>
    <cellStyle name="Currency" xfId="3" builtinId="4"/>
    <cellStyle name="Hyperlink" xfId="1" builtinId="8"/>
    <cellStyle name="Normal" xfId="0" builtinId="0"/>
    <cellStyle name="Percent" xfId="2" builtinId="5"/>
  </cellStyles>
  <dxfs count="1">
    <dxf>
      <font>
        <b/>
        <i val="0"/>
        <color rgb="FF2E75B6"/>
      </font>
    </dxf>
  </dxfs>
  <tableStyles count="0" defaultTableStyle="TableStyleMedium2" defaultPivotStyle="PivotStyleLight16"/>
  <colors>
    <mruColors>
      <color rgb="FF008000"/>
      <color rgb="FFC6A54A"/>
      <color rgb="FF0B1F3B"/>
      <color rgb="FF5A6772"/>
      <color rgb="FF006600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'Cover Page'!$G$35</c:f>
              <c:strCache>
                <c:ptCount val="1"/>
                <c:pt idx="0">
                  <c:v>Low (C$)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'Cover Page'!$F$36:$F$41</c:f>
              <c:strCache>
                <c:ptCount val="6"/>
                <c:pt idx="0">
                  <c:v>Comps: P/NAV</c:v>
                </c:pt>
                <c:pt idx="1">
                  <c:v>Comps: EV/Reserves</c:v>
                </c:pt>
                <c:pt idx="2">
                  <c:v>Comps: EV/Resources</c:v>
                </c:pt>
                <c:pt idx="3">
                  <c:v>Precedents: P/NAV</c:v>
                </c:pt>
                <c:pt idx="4">
                  <c:v>52-Week Range</c:v>
                </c:pt>
                <c:pt idx="5">
                  <c:v>Analyst Targets</c:v>
                </c:pt>
              </c:strCache>
            </c:strRef>
          </c:cat>
          <c:val>
            <c:numRef>
              <c:f>'Cover Page'!$G$36:$G$41</c:f>
              <c:numCache>
                <c:formatCode>_-[$$-1009]* #,##0.00_-;\-[$$-1009]* #,##0.00_-;_-[$$-1009]* "-"??_-;_-@_-</c:formatCode>
                <c:ptCount val="6"/>
                <c:pt idx="0">
                  <c:v>23.79373717488712</c:v>
                </c:pt>
                <c:pt idx="1">
                  <c:v>18.510831704157347</c:v>
                </c:pt>
                <c:pt idx="2">
                  <c:v>15.783178895300908</c:v>
                </c:pt>
                <c:pt idx="3">
                  <c:v>69.218144508762506</c:v>
                </c:pt>
                <c:pt idx="4">
                  <c:v>12.15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D-4BE3-A2B1-2CED5FBFC1C9}"/>
            </c:ext>
          </c:extLst>
        </c:ser>
        <c:ser>
          <c:idx val="1"/>
          <c:order val="1"/>
          <c:tx>
            <c:strRef>
              <c:f>'Cover Page'!$H$35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0B1F3B"/>
            </a:solidFill>
            <a:ln>
              <a:noFill/>
            </a:ln>
            <a:effectLst/>
          </c:spPr>
          <c:invertIfNegative val="0"/>
          <c:cat>
            <c:strRef>
              <c:f>'Cover Page'!$F$36:$F$41</c:f>
              <c:strCache>
                <c:ptCount val="6"/>
                <c:pt idx="0">
                  <c:v>Comps: P/NAV</c:v>
                </c:pt>
                <c:pt idx="1">
                  <c:v>Comps: EV/Reserves</c:v>
                </c:pt>
                <c:pt idx="2">
                  <c:v>Comps: EV/Resources</c:v>
                </c:pt>
                <c:pt idx="3">
                  <c:v>Precedents: P/NAV</c:v>
                </c:pt>
                <c:pt idx="4">
                  <c:v>52-Week Range</c:v>
                </c:pt>
                <c:pt idx="5">
                  <c:v>Analyst Targets</c:v>
                </c:pt>
              </c:strCache>
            </c:strRef>
          </c:cat>
          <c:val>
            <c:numRef>
              <c:f>'Cover Page'!$H$36:$H$41</c:f>
              <c:numCache>
                <c:formatCode>_-[$$-1009]* #,##0.00_-;\-[$$-1009]* #,##0.00_-;_-[$$-1009]* "-"??_-;_-@_-</c:formatCode>
                <c:ptCount val="6"/>
                <c:pt idx="0">
                  <c:v>56.960764752002497</c:v>
                </c:pt>
                <c:pt idx="1">
                  <c:v>56.797609792036987</c:v>
                </c:pt>
                <c:pt idx="2">
                  <c:v>27.850304791383046</c:v>
                </c:pt>
                <c:pt idx="3">
                  <c:v>38.935206286178925</c:v>
                </c:pt>
                <c:pt idx="4">
                  <c:v>40.85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D-4BE3-A2B1-2CED5FBFC1C9}"/>
            </c:ext>
          </c:extLst>
        </c:ser>
        <c:ser>
          <c:idx val="2"/>
          <c:order val="2"/>
          <c:tx>
            <c:strRef>
              <c:f>'Cover Page'!$I$35</c:f>
              <c:strCache>
                <c:ptCount val="1"/>
                <c:pt idx="0">
                  <c:v>High (C$)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'Cover Page'!$F$36:$F$41</c:f>
              <c:strCache>
                <c:ptCount val="6"/>
                <c:pt idx="0">
                  <c:v>Comps: P/NAV</c:v>
                </c:pt>
                <c:pt idx="1">
                  <c:v>Comps: EV/Reserves</c:v>
                </c:pt>
                <c:pt idx="2">
                  <c:v>Comps: EV/Resources</c:v>
                </c:pt>
                <c:pt idx="3">
                  <c:v>Precedents: P/NAV</c:v>
                </c:pt>
                <c:pt idx="4">
                  <c:v>52-Week Range</c:v>
                </c:pt>
                <c:pt idx="5">
                  <c:v>Analyst Targets</c:v>
                </c:pt>
              </c:strCache>
            </c:strRef>
          </c:cat>
          <c:val>
            <c:numRef>
              <c:f>'Cover Page'!$I$36:$I$41</c:f>
              <c:numCache>
                <c:formatCode>_-[$$-1009]* #,##0.00_-;\-[$$-1009]* #,##0.00_-;_-[$$-1009]* "-"??_-;_-@_-</c:formatCode>
                <c:ptCount val="6"/>
                <c:pt idx="0">
                  <c:v>80.754501926889617</c:v>
                </c:pt>
                <c:pt idx="1">
                  <c:v>75.308441496194334</c:v>
                </c:pt>
                <c:pt idx="2">
                  <c:v>43.633483686683952</c:v>
                </c:pt>
                <c:pt idx="3">
                  <c:v>108.15335079494143</c:v>
                </c:pt>
                <c:pt idx="4">
                  <c:v>53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D-4BE3-A2B1-2CED5FBFC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7214207"/>
        <c:axId val="1557217567"/>
      </c:barChart>
      <c:catAx>
        <c:axId val="1557214207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557217567"/>
        <c:crosses val="autoZero"/>
        <c:auto val="1"/>
        <c:lblAlgn val="ctr"/>
        <c:lblOffset val="100"/>
        <c:noMultiLvlLbl val="0"/>
      </c:catAx>
      <c:valAx>
        <c:axId val="1557217567"/>
        <c:scaling>
          <c:orientation val="minMax"/>
          <c:max val="120"/>
          <c:min val="0"/>
        </c:scaling>
        <c:delete val="0"/>
        <c:axPos val="t"/>
        <c:numFmt formatCode="_-[$$-1009]* #,##0.00_-;\-[$$-1009]* #,##0.00_-;_-[$$-10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5721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B1F3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6A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FA-4882-BC96-D81F26CFAF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'Broker Summary'!$C$5:$C$10</c:f>
              <c:strCache>
                <c:ptCount val="6"/>
                <c:pt idx="0">
                  <c:v>UBS</c:v>
                </c:pt>
                <c:pt idx="1">
                  <c:v>CIBC</c:v>
                </c:pt>
                <c:pt idx="2">
                  <c:v>Our Target</c:v>
                </c:pt>
                <c:pt idx="3">
                  <c:v>Raymond James</c:v>
                </c:pt>
                <c:pt idx="4">
                  <c:v>TD</c:v>
                </c:pt>
                <c:pt idx="5">
                  <c:v>Scotiabank</c:v>
                </c:pt>
              </c:strCache>
            </c:strRef>
          </c:cat>
          <c:val>
            <c:numRef>
              <c:f>'Broker Summary'!$D$5:$D$10</c:f>
              <c:numCache>
                <c:formatCode>_-[$$-1009]* #,##0.00_-;\-[$$-1009]* #,##0.00_-;_-[$$-1009]* "-"??_-;_-@_-</c:formatCode>
                <c:ptCount val="6"/>
                <c:pt idx="0">
                  <c:v>60</c:v>
                </c:pt>
                <c:pt idx="1">
                  <c:v>58</c:v>
                </c:pt>
                <c:pt idx="2">
                  <c:v>56.233151762682098</c:v>
                </c:pt>
                <c:pt idx="3">
                  <c:v>50</c:v>
                </c:pt>
                <c:pt idx="4">
                  <c:v>49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9-434A-8A2E-6E45620D2F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819632575"/>
        <c:axId val="1819633535"/>
      </c:barChart>
      <c:catAx>
        <c:axId val="181963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19633535"/>
        <c:crosses val="autoZero"/>
        <c:auto val="1"/>
        <c:lblAlgn val="ctr"/>
        <c:lblOffset val="100"/>
        <c:noMultiLvlLbl val="0"/>
      </c:catAx>
      <c:valAx>
        <c:axId val="1819633535"/>
        <c:scaling>
          <c:orientation val="minMax"/>
        </c:scaling>
        <c:delete val="1"/>
        <c:axPos val="l"/>
        <c:numFmt formatCode="_-[$$-1009]* #,##0.00_-;\-[$$-1009]* #,##0.00_-;_-[$$-1009]* &quot;-&quot;??_-;_-@_-" sourceLinked="1"/>
        <c:majorTickMark val="none"/>
        <c:minorTickMark val="none"/>
        <c:tickLblPos val="nextTo"/>
        <c:crossAx val="181963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/>
              <a:t>Gold Produced (oz)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'Thesis 2'!$B$28:$C$28</c:f>
              <c:strCache>
                <c:ptCount val="2"/>
                <c:pt idx="0">
                  <c:v>Base Model</c:v>
                </c:pt>
              </c:strCache>
            </c:strRef>
          </c:tx>
          <c:spPr>
            <a:solidFill>
              <a:srgbClr val="0B1F3B"/>
            </a:solidFill>
            <a:ln>
              <a:noFill/>
            </a:ln>
            <a:effectLst/>
          </c:spPr>
          <c:invertIfNegative val="0"/>
          <c:cat>
            <c:numRef>
              <c:f>'Thesis 2'!$D$27:$O$27</c:f>
              <c:numCache>
                <c:formatCode>General</c:formatCode>
                <c:ptCount val="12"/>
              </c:numCache>
            </c:numRef>
          </c:cat>
          <c:val>
            <c:numRef>
              <c:f>'Thesis 2'!$D$28:$O$28</c:f>
              <c:numCache>
                <c:formatCode>General</c:formatCode>
                <c:ptCount val="12"/>
                <c:pt idx="0" formatCode="#,##0">
                  <c:v>394939.47626472899</c:v>
                </c:pt>
                <c:pt idx="1">
                  <c:v>273095.31081711099</c:v>
                </c:pt>
                <c:pt idx="2">
                  <c:v>312215.66704711702</c:v>
                </c:pt>
                <c:pt idx="3">
                  <c:v>288199.07727426197</c:v>
                </c:pt>
                <c:pt idx="4">
                  <c:v>312215.66704711702</c:v>
                </c:pt>
                <c:pt idx="5">
                  <c:v>309093.51037664601</c:v>
                </c:pt>
                <c:pt idx="6">
                  <c:v>177455.91332165201</c:v>
                </c:pt>
                <c:pt idx="7">
                  <c:v>242834.40770331299</c:v>
                </c:pt>
                <c:pt idx="8">
                  <c:v>158776.34349832</c:v>
                </c:pt>
                <c:pt idx="9">
                  <c:v>112397.640136962</c:v>
                </c:pt>
                <c:pt idx="10">
                  <c:v>74718.279293327098</c:v>
                </c:pt>
                <c:pt idx="11">
                  <c:v>67673.412959956302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9-40CD-8609-3B7F1309BD30}"/>
            </c:ext>
          </c:extLst>
        </c:ser>
        <c:ser>
          <c:idx val="1"/>
          <c:order val="1"/>
          <c:tx>
            <c:strRef>
              <c:f>'Thesis 2'!$B$29:$C$29</c:f>
              <c:strCache>
                <c:ptCount val="2"/>
                <c:pt idx="0">
                  <c:v>Incremental Uplift</c:v>
                </c:pt>
              </c:strCache>
            </c:strRef>
          </c:tx>
          <c:spPr>
            <a:solidFill>
              <a:srgbClr val="C6A54A"/>
            </a:solidFill>
            <a:ln>
              <a:noFill/>
            </a:ln>
            <a:effectLst/>
          </c:spPr>
          <c:invertIfNegative val="0"/>
          <c:cat>
            <c:numRef>
              <c:f>'Thesis 2'!$D$27:$O$27</c:f>
              <c:numCache>
                <c:formatCode>General</c:formatCode>
                <c:ptCount val="12"/>
              </c:numCache>
            </c:numRef>
          </c:cat>
          <c:val>
            <c:numRef>
              <c:f>'Thesis 2'!$D$29:$O$29</c:f>
              <c:numCache>
                <c:formatCode>General</c:formatCode>
                <c:ptCount val="12"/>
                <c:pt idx="0">
                  <c:v>52372.067728439055</c:v>
                </c:pt>
                <c:pt idx="1">
                  <c:v>35613.00605533825</c:v>
                </c:pt>
                <c:pt idx="2">
                  <c:v>40850.212828182324</c:v>
                </c:pt>
                <c:pt idx="3">
                  <c:v>37707.888764475938</c:v>
                </c:pt>
                <c:pt idx="4">
                  <c:v>40850.212828182324</c:v>
                </c:pt>
                <c:pt idx="5">
                  <c:v>34565.564700769493</c:v>
                </c:pt>
                <c:pt idx="6">
                  <c:v>19901.385736806755</c:v>
                </c:pt>
                <c:pt idx="7">
                  <c:v>27233.475218788488</c:v>
                </c:pt>
                <c:pt idx="8">
                  <c:v>17806.503027669416</c:v>
                </c:pt>
                <c:pt idx="9">
                  <c:v>12569.296254825458</c:v>
                </c:pt>
                <c:pt idx="10">
                  <c:v>8379.5308365502715</c:v>
                </c:pt>
                <c:pt idx="11">
                  <c:v>8379.5308365502133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9-40CD-8609-3B7F1309B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89981680"/>
        <c:axId val="1089980720"/>
      </c:barChart>
      <c:catAx>
        <c:axId val="108998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89980720"/>
        <c:crosses val="autoZero"/>
        <c:auto val="1"/>
        <c:lblAlgn val="ctr"/>
        <c:lblOffset val="100"/>
        <c:noMultiLvlLbl val="0"/>
      </c:catAx>
      <c:valAx>
        <c:axId val="1089980720"/>
        <c:scaling>
          <c:orientation val="minMax"/>
        </c:scaling>
        <c:delete val="0"/>
        <c:axPos val="l"/>
        <c:numFmt formatCode="#,##0;\-0;&quot;-&quot;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8998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'Thesis 2'!$B$13</c:f>
              <c:strCache>
                <c:ptCount val="1"/>
                <c:pt idx="0">
                  <c:v>Base Model</c:v>
                </c:pt>
              </c:strCache>
            </c:strRef>
          </c:tx>
          <c:spPr>
            <a:solidFill>
              <a:srgbClr val="0B1F3B"/>
            </a:solidFill>
            <a:ln>
              <a:noFill/>
            </a:ln>
            <a:effectLst/>
          </c:spPr>
          <c:invertIfNegative val="0"/>
          <c:cat>
            <c:numRef>
              <c:f>'Thesis 2'!$D$12:$O$12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'Thesis 2'!$D$13:$O$13</c:f>
              <c:numCache>
                <c:formatCode>#,##0</c:formatCode>
                <c:ptCount val="12"/>
                <c:pt idx="0">
                  <c:v>7915348.43345604</c:v>
                </c:pt>
                <c:pt idx="1">
                  <c:v>7573507.80458791</c:v>
                </c:pt>
                <c:pt idx="2">
                  <c:v>10111273.6508753</c:v>
                </c:pt>
                <c:pt idx="3">
                  <c:v>8891250.1808478106</c:v>
                </c:pt>
                <c:pt idx="4">
                  <c:v>12955069.365184</c:v>
                </c:pt>
                <c:pt idx="5">
                  <c:v>6469635.2500522397</c:v>
                </c:pt>
                <c:pt idx="6">
                  <c:v>4188162.1039432902</c:v>
                </c:pt>
                <c:pt idx="7">
                  <c:v>9789444.9177745301</c:v>
                </c:pt>
                <c:pt idx="8">
                  <c:v>6215683.1224781796</c:v>
                </c:pt>
                <c:pt idx="9">
                  <c:v>2423545.90319417</c:v>
                </c:pt>
                <c:pt idx="10">
                  <c:v>1402880.70474384</c:v>
                </c:pt>
                <c:pt idx="11">
                  <c:v>1057295.1597087099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0-43E2-BE3A-F040D0E6A3B2}"/>
            </c:ext>
          </c:extLst>
        </c:ser>
        <c:ser>
          <c:idx val="1"/>
          <c:order val="1"/>
          <c:tx>
            <c:strRef>
              <c:f>'Thesis 2'!$B$15</c:f>
              <c:strCache>
                <c:ptCount val="1"/>
                <c:pt idx="0">
                  <c:v>Incremental Uplift</c:v>
                </c:pt>
              </c:strCache>
            </c:strRef>
          </c:tx>
          <c:spPr>
            <a:solidFill>
              <a:srgbClr val="5A6772"/>
            </a:solidFill>
            <a:ln>
              <a:noFill/>
            </a:ln>
            <a:effectLst/>
          </c:spPr>
          <c:invertIfNegative val="0"/>
          <c:cat>
            <c:numRef>
              <c:f>'Thesis 2'!$D$12:$O$12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'Thesis 2'!$D$15:$O$15</c:f>
              <c:numCache>
                <c:formatCode>#,##0</c:formatCode>
                <c:ptCount val="12"/>
                <c:pt idx="0">
                  <c:v>1049637.1954807704</c:v>
                </c:pt>
                <c:pt idx="1">
                  <c:v>987623.61938015372</c:v>
                </c:pt>
                <c:pt idx="2">
                  <c:v>1322956.2901464421</c:v>
                </c:pt>
                <c:pt idx="3">
                  <c:v>1163328.7516652327</c:v>
                </c:pt>
                <c:pt idx="4">
                  <c:v>1695037.7467501108</c:v>
                </c:pt>
                <c:pt idx="5">
                  <c:v>723491.72117383964</c:v>
                </c:pt>
                <c:pt idx="6">
                  <c:v>469695.41898427997</c:v>
                </c:pt>
                <c:pt idx="7">
                  <c:v>1097869.9768923558</c:v>
                </c:pt>
                <c:pt idx="8">
                  <c:v>697078.53135320079</c:v>
                </c:pt>
                <c:pt idx="9">
                  <c:v>271022.29555083765</c:v>
                </c:pt>
                <c:pt idx="10">
                  <c:v>157330.73936637281</c:v>
                </c:pt>
                <c:pt idx="11">
                  <c:v>130917.54954574606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0-43E2-BE3A-F040D0E6A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34162223"/>
        <c:axId val="1534166543"/>
      </c:barChart>
      <c:catAx>
        <c:axId val="15341622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34166543"/>
        <c:crosses val="autoZero"/>
        <c:auto val="1"/>
        <c:lblAlgn val="ctr"/>
        <c:lblOffset val="100"/>
        <c:noMultiLvlLbl val="0"/>
      </c:catAx>
      <c:valAx>
        <c:axId val="1534166543"/>
        <c:scaling>
          <c:orientation val="minMax"/>
        </c:scaling>
        <c:delete val="0"/>
        <c:axPos val="l"/>
        <c:numFmt formatCode="0,000;\-0;&quot;-&quot;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3416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'Thesis 2'!$B$28:$C$28</c:f>
              <c:strCache>
                <c:ptCount val="2"/>
                <c:pt idx="0">
                  <c:v>Base Model</c:v>
                </c:pt>
              </c:strCache>
            </c:strRef>
          </c:tx>
          <c:spPr>
            <a:solidFill>
              <a:srgbClr val="0B1F3B"/>
            </a:solidFill>
            <a:ln>
              <a:noFill/>
            </a:ln>
            <a:effectLst/>
          </c:spPr>
          <c:invertIfNegative val="0"/>
          <c:cat>
            <c:numRef>
              <c:f>'Thesis 2'!$D$27:$H$27</c:f>
              <c:numCache>
                <c:formatCode>General</c:formatCode>
                <c:ptCount val="5"/>
              </c:numCache>
            </c:numRef>
          </c:cat>
          <c:val>
            <c:numRef>
              <c:f>'Thesis 2'!$D$28:$H$28</c:f>
              <c:numCache>
                <c:formatCode>General</c:formatCode>
                <c:ptCount val="5"/>
                <c:pt idx="0" formatCode="#,##0">
                  <c:v>394939.47626472899</c:v>
                </c:pt>
                <c:pt idx="1">
                  <c:v>273095.31081711099</c:v>
                </c:pt>
                <c:pt idx="2">
                  <c:v>312215.66704711702</c:v>
                </c:pt>
                <c:pt idx="3">
                  <c:v>288199.07727426197</c:v>
                </c:pt>
                <c:pt idx="4">
                  <c:v>312215.66704711702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8-48C6-A97F-3D5265715583}"/>
            </c:ext>
          </c:extLst>
        </c:ser>
        <c:ser>
          <c:idx val="1"/>
          <c:order val="1"/>
          <c:tx>
            <c:strRef>
              <c:f>'Thesis 2'!$B$29:$C$29</c:f>
              <c:strCache>
                <c:ptCount val="2"/>
                <c:pt idx="0">
                  <c:v>Incremental Uplift</c:v>
                </c:pt>
              </c:strCache>
            </c:strRef>
          </c:tx>
          <c:spPr>
            <a:solidFill>
              <a:srgbClr val="C6A54A"/>
            </a:solidFill>
            <a:ln>
              <a:noFill/>
            </a:ln>
            <a:effectLst/>
          </c:spPr>
          <c:invertIfNegative val="0"/>
          <c:cat>
            <c:numRef>
              <c:f>'Thesis 2'!$D$27:$H$27</c:f>
              <c:numCache>
                <c:formatCode>General</c:formatCode>
                <c:ptCount val="5"/>
              </c:numCache>
            </c:numRef>
          </c:cat>
          <c:val>
            <c:numRef>
              <c:f>'Thesis 2'!$D$29:$H$29</c:f>
              <c:numCache>
                <c:formatCode>General</c:formatCode>
                <c:ptCount val="5"/>
                <c:pt idx="0">
                  <c:v>52372.067728439055</c:v>
                </c:pt>
                <c:pt idx="1">
                  <c:v>35613.00605533825</c:v>
                </c:pt>
                <c:pt idx="2">
                  <c:v>40850.212828182324</c:v>
                </c:pt>
                <c:pt idx="3">
                  <c:v>37707.888764475938</c:v>
                </c:pt>
                <c:pt idx="4">
                  <c:v>40850.212828182324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8-48C6-A97F-3D526571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89981680"/>
        <c:axId val="1089980720"/>
      </c:barChart>
      <c:catAx>
        <c:axId val="108998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89980720"/>
        <c:crosses val="autoZero"/>
        <c:auto val="1"/>
        <c:lblAlgn val="ctr"/>
        <c:lblOffset val="100"/>
        <c:noMultiLvlLbl val="0"/>
      </c:catAx>
      <c:valAx>
        <c:axId val="1089980720"/>
        <c:scaling>
          <c:orientation val="minMax"/>
        </c:scaling>
        <c:delete val="0"/>
        <c:axPos val="l"/>
        <c:numFmt formatCode="#,##0;\-0;&quot;-&quot;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8998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'Thesis 2'!$B$19</c:f>
              <c:strCache>
                <c:ptCount val="1"/>
                <c:pt idx="0">
                  <c:v>Discounted FCF - Base</c:v>
                </c:pt>
              </c:strCache>
            </c:strRef>
          </c:tx>
          <c:spPr>
            <a:solidFill>
              <a:srgbClr val="0B1F3B"/>
            </a:solidFill>
            <a:ln>
              <a:noFill/>
            </a:ln>
            <a:effectLst/>
          </c:spPr>
          <c:invertIfNegative val="0"/>
          <c:cat>
            <c:numRef>
              <c:f>'Thesis 2'!$D$18:$O$18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'Thesis 2'!$D$19:$O$19</c:f>
              <c:numCache>
                <c:formatCode>#,##0</c:formatCode>
                <c:ptCount val="12"/>
                <c:pt idx="0">
                  <c:v>1437.0417961934795</c:v>
                </c:pt>
                <c:pt idx="1">
                  <c:v>848.25439281575154</c:v>
                </c:pt>
                <c:pt idx="2">
                  <c:v>853.92354975119554</c:v>
                </c:pt>
                <c:pt idx="3">
                  <c:v>489.89564668626917</c:v>
                </c:pt>
                <c:pt idx="4">
                  <c:v>557.85819105957705</c:v>
                </c:pt>
                <c:pt idx="5">
                  <c:v>426.37281432416609</c:v>
                </c:pt>
                <c:pt idx="6">
                  <c:v>211.9027275280078</c:v>
                </c:pt>
                <c:pt idx="7">
                  <c:v>344.78036306774891</c:v>
                </c:pt>
                <c:pt idx="8">
                  <c:v>189.55060959104543</c:v>
                </c:pt>
                <c:pt idx="9">
                  <c:v>87.24880791895535</c:v>
                </c:pt>
                <c:pt idx="10">
                  <c:v>37.504676295485631</c:v>
                </c:pt>
                <c:pt idx="11">
                  <c:v>-21.380931838482649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9-4339-9256-01BE3C29E976}"/>
            </c:ext>
          </c:extLst>
        </c:ser>
        <c:ser>
          <c:idx val="1"/>
          <c:order val="1"/>
          <c:tx>
            <c:strRef>
              <c:f>'Thesis 2'!$B$20</c:f>
              <c:strCache>
                <c:ptCount val="1"/>
                <c:pt idx="0">
                  <c:v>Discounted FCF - Expansion</c:v>
                </c:pt>
              </c:strCache>
            </c:strRef>
          </c:tx>
          <c:spPr>
            <a:solidFill>
              <a:srgbClr val="0B1F3B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'Thesis 2'!$D$18:$O$18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'Thesis 2'!$D$21:$O$21</c:f>
              <c:numCache>
                <c:formatCode>#,##0</c:formatCode>
                <c:ptCount val="12"/>
                <c:pt idx="0">
                  <c:v>203.87554286725117</c:v>
                </c:pt>
                <c:pt idx="1">
                  <c:v>123.76763246586745</c:v>
                </c:pt>
                <c:pt idx="2">
                  <c:v>123.6524829142495</c:v>
                </c:pt>
                <c:pt idx="3">
                  <c:v>75.288887744345516</c:v>
                </c:pt>
                <c:pt idx="4">
                  <c:v>83.214086352008394</c:v>
                </c:pt>
                <c:pt idx="5">
                  <c:v>53.339930197353283</c:v>
                </c:pt>
                <c:pt idx="6">
                  <c:v>29.24432322015835</c:v>
                </c:pt>
                <c:pt idx="7">
                  <c:v>43.447060482880431</c:v>
                </c:pt>
                <c:pt idx="8">
                  <c:v>26.033425953933971</c:v>
                </c:pt>
                <c:pt idx="9">
                  <c:v>14.352436733572489</c:v>
                </c:pt>
                <c:pt idx="10">
                  <c:v>8.5998428876906772</c:v>
                </c:pt>
                <c:pt idx="11">
                  <c:v>7.7110089444039271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9-4339-9256-01BE3C29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76449599"/>
        <c:axId val="1876438079"/>
      </c:barChart>
      <c:catAx>
        <c:axId val="187644959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76438079"/>
        <c:crosses val="autoZero"/>
        <c:auto val="1"/>
        <c:lblAlgn val="ctr"/>
        <c:lblOffset val="100"/>
        <c:noMultiLvlLbl val="0"/>
      </c:catAx>
      <c:valAx>
        <c:axId val="1876438079"/>
        <c:scaling>
          <c:orientation val="minMax"/>
        </c:scaling>
        <c:delete val="0"/>
        <c:axPos val="l"/>
        <c:numFmt formatCode="#,000;\-\(0\);&quot;-&quot;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7644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'Thesis 2'!$B$19</c:f>
              <c:strCache>
                <c:ptCount val="1"/>
                <c:pt idx="0">
                  <c:v>Discounted FCF - Base</c:v>
                </c:pt>
              </c:strCache>
            </c:strRef>
          </c:tx>
          <c:spPr>
            <a:solidFill>
              <a:srgbClr val="0B1F3B"/>
            </a:solidFill>
            <a:ln>
              <a:noFill/>
            </a:ln>
            <a:effectLst/>
          </c:spPr>
          <c:invertIfNegative val="0"/>
          <c:cat>
            <c:numRef>
              <c:f>'Thesis 2'!$D$18:$O$18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'Thesis 2'!$D$19:$O$19</c:f>
              <c:numCache>
                <c:formatCode>#,##0</c:formatCode>
                <c:ptCount val="12"/>
                <c:pt idx="0">
                  <c:v>1437.0417961934795</c:v>
                </c:pt>
                <c:pt idx="1">
                  <c:v>848.25439281575154</c:v>
                </c:pt>
                <c:pt idx="2">
                  <c:v>853.92354975119554</c:v>
                </c:pt>
                <c:pt idx="3">
                  <c:v>489.89564668626917</c:v>
                </c:pt>
                <c:pt idx="4">
                  <c:v>557.85819105957705</c:v>
                </c:pt>
                <c:pt idx="5">
                  <c:v>426.37281432416609</c:v>
                </c:pt>
                <c:pt idx="6">
                  <c:v>211.9027275280078</c:v>
                </c:pt>
                <c:pt idx="7">
                  <c:v>344.78036306774891</c:v>
                </c:pt>
                <c:pt idx="8">
                  <c:v>189.55060959104543</c:v>
                </c:pt>
                <c:pt idx="9">
                  <c:v>87.24880791895535</c:v>
                </c:pt>
                <c:pt idx="10">
                  <c:v>37.504676295485631</c:v>
                </c:pt>
                <c:pt idx="11">
                  <c:v>-21.380931838482649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6-4DFE-8950-47098A88A7B4}"/>
            </c:ext>
          </c:extLst>
        </c:ser>
        <c:ser>
          <c:idx val="1"/>
          <c:order val="1"/>
          <c:tx>
            <c:strRef>
              <c:f>'Thesis 2'!$B$20</c:f>
              <c:strCache>
                <c:ptCount val="1"/>
                <c:pt idx="0">
                  <c:v>Discounted FCF - Expansion</c:v>
                </c:pt>
              </c:strCache>
            </c:strRef>
          </c:tx>
          <c:spPr>
            <a:solidFill>
              <a:srgbClr val="0B1F3B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'Thesis 2'!$D$18:$O$18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'Thesis 2'!$D$21:$O$21</c:f>
              <c:numCache>
                <c:formatCode>#,##0</c:formatCode>
                <c:ptCount val="12"/>
                <c:pt idx="0">
                  <c:v>203.87554286725117</c:v>
                </c:pt>
                <c:pt idx="1">
                  <c:v>123.76763246586745</c:v>
                </c:pt>
                <c:pt idx="2">
                  <c:v>123.6524829142495</c:v>
                </c:pt>
                <c:pt idx="3">
                  <c:v>75.288887744345516</c:v>
                </c:pt>
                <c:pt idx="4">
                  <c:v>83.214086352008394</c:v>
                </c:pt>
                <c:pt idx="5">
                  <c:v>53.339930197353283</c:v>
                </c:pt>
                <c:pt idx="6">
                  <c:v>29.24432322015835</c:v>
                </c:pt>
                <c:pt idx="7">
                  <c:v>43.447060482880431</c:v>
                </c:pt>
                <c:pt idx="8">
                  <c:v>26.033425953933971</c:v>
                </c:pt>
                <c:pt idx="9">
                  <c:v>14.352436733572489</c:v>
                </c:pt>
                <c:pt idx="10">
                  <c:v>8.5998428876906772</c:v>
                </c:pt>
                <c:pt idx="11">
                  <c:v>7.7110089444039271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6-4DFE-8950-47098A88A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76505279"/>
        <c:axId val="1876513439"/>
      </c:barChart>
      <c:scatterChart>
        <c:scatterStyle val="lineMarker"/>
        <c:varyColors val="0"/>
        <c:ser>
          <c:idx val="2"/>
          <c:order val="2"/>
          <c:tx>
            <c:strRef>
              <c:f>'Thesis 2'!$B$22</c:f>
              <c:strCache>
                <c:ptCount val="1"/>
                <c:pt idx="0">
                  <c:v>% Change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C6A54A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'Thesis 2'!$D$22:$O$22</c:f>
              <c:numCache>
                <c:formatCode>0%</c:formatCode>
                <c:ptCount val="12"/>
                <c:pt idx="0">
                  <c:v>0.14187168627056546</c:v>
                </c:pt>
                <c:pt idx="1">
                  <c:v>0.14590862542429636</c:v>
                </c:pt>
                <c:pt idx="2">
                  <c:v>0.14480509754096565</c:v>
                </c:pt>
                <c:pt idx="3">
                  <c:v>0.15368352067141511</c:v>
                </c:pt>
                <c:pt idx="4">
                  <c:v>0.14916709602122066</c:v>
                </c:pt>
                <c:pt idx="5">
                  <c:v>0.12510162094152555</c:v>
                </c:pt>
                <c:pt idx="6">
                  <c:v>0.138008243505469</c:v>
                </c:pt>
                <c:pt idx="7">
                  <c:v>0.12601373261603979</c:v>
                </c:pt>
                <c:pt idx="8">
                  <c:v>0.13734287644920251</c:v>
                </c:pt>
                <c:pt idx="9">
                  <c:v>0.1645000897537115</c:v>
                </c:pt>
                <c:pt idx="10">
                  <c:v>0.22930054961508425</c:v>
                </c:pt>
                <c:pt idx="11">
                  <c:v>-0.36064887174492571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A6-4DFE-8950-47098A88A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502879"/>
        <c:axId val="1876519199"/>
      </c:scatterChart>
      <c:catAx>
        <c:axId val="187650527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76513439"/>
        <c:crosses val="autoZero"/>
        <c:auto val="1"/>
        <c:lblAlgn val="ctr"/>
        <c:lblOffset val="100"/>
        <c:noMultiLvlLbl val="0"/>
      </c:catAx>
      <c:valAx>
        <c:axId val="1876513439"/>
        <c:scaling>
          <c:orientation val="minMax"/>
        </c:scaling>
        <c:delete val="0"/>
        <c:axPos val="l"/>
        <c:numFmt formatCode="#,000;\-\(0\);&quot;-&quot;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76505279"/>
        <c:crosses val="autoZero"/>
        <c:crossBetween val="between"/>
      </c:valAx>
      <c:valAx>
        <c:axId val="1876519199"/>
        <c:scaling>
          <c:orientation val="minMax"/>
        </c:scaling>
        <c:delete val="0"/>
        <c:axPos val="r"/>
        <c:numFmt formatCode="0%;\(0%\);&quot;-&quot;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76502879"/>
        <c:crosses val="max"/>
        <c:crossBetween val="midCat"/>
      </c:valAx>
      <c:valAx>
        <c:axId val="1876502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876519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'Mine Overview'!$A$13</c:f>
              <c:strCache>
                <c:ptCount val="1"/>
                <c:pt idx="0">
                  <c:v>Annual Production (koz AuEq)</c:v>
                </c:pt>
              </c:strCache>
            </c:strRef>
          </c:tx>
          <c:spPr>
            <a:solidFill>
              <a:srgbClr val="0B1F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'Mine Overview'!$C$13:$N$13</c:f>
              <c:numCache>
                <c:formatCode>#,##0</c:formatCode>
                <c:ptCount val="12"/>
                <c:pt idx="0">
                  <c:v>500.4774553774763</c:v>
                </c:pt>
                <c:pt idx="1">
                  <c:v>374.07541487828263</c:v>
                </c:pt>
                <c:pt idx="2">
                  <c:v>447.03264905878763</c:v>
                </c:pt>
                <c:pt idx="3">
                  <c:v>406.7490796855659</c:v>
                </c:pt>
                <c:pt idx="4">
                  <c:v>484.94992524956996</c:v>
                </c:pt>
                <c:pt idx="5">
                  <c:v>395.3553137106756</c:v>
                </c:pt>
                <c:pt idx="6">
                  <c:v>233.29807470756234</c:v>
                </c:pt>
                <c:pt idx="7">
                  <c:v>373.3603399403068</c:v>
                </c:pt>
                <c:pt idx="8">
                  <c:v>241.6521184646958</c:v>
                </c:pt>
                <c:pt idx="9">
                  <c:v>144.71158551288437</c:v>
                </c:pt>
                <c:pt idx="10">
                  <c:v>93.423355356578313</c:v>
                </c:pt>
                <c:pt idx="11">
                  <c:v>81.770681756072463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9-42C4-834D-721BD3C9D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32037472"/>
        <c:axId val="1632053792"/>
      </c:barChart>
      <c:lineChart>
        <c:grouping val="stacked"/>
        <c:varyColors val="0"/>
        <c:ser>
          <c:idx val="0"/>
          <c:order val="0"/>
          <c:tx>
            <c:strRef>
              <c:f>'Mine Overview'!$A$8</c:f>
              <c:strCache>
                <c:ptCount val="1"/>
                <c:pt idx="0">
                  <c:v>AISC (US$/oz AuEq)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C6A54A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'Mine Overview'!$C$6:$N$6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'Mine Overview'!$C$8:$N$8</c:f>
              <c:numCache>
                <c:formatCode>#,##0</c:formatCode>
                <c:ptCount val="12"/>
                <c:pt idx="0">
                  <c:v>602.60927808887948</c:v>
                </c:pt>
                <c:pt idx="1">
                  <c:v>825.31358710354993</c:v>
                </c:pt>
                <c:pt idx="2">
                  <c:v>724.77130457070666</c:v>
                </c:pt>
                <c:pt idx="3">
                  <c:v>751.48141328493193</c:v>
                </c:pt>
                <c:pt idx="4">
                  <c:v>698.52130457070666</c:v>
                </c:pt>
                <c:pt idx="5">
                  <c:v>506.83894394646893</c:v>
                </c:pt>
                <c:pt idx="6">
                  <c:v>834.42631102864902</c:v>
                </c:pt>
                <c:pt idx="7">
                  <c:v>626.73461190555122</c:v>
                </c:pt>
                <c:pt idx="8">
                  <c:v>925.18234762025463</c:v>
                </c:pt>
                <c:pt idx="9">
                  <c:v>1283.5570958527896</c:v>
                </c:pt>
                <c:pt idx="10">
                  <c:v>1895.1374886930407</c:v>
                </c:pt>
                <c:pt idx="11">
                  <c:v>1942.7061626274372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9-42C4-834D-721BD3C9D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051872"/>
        <c:axId val="1632035552"/>
      </c:lineChart>
      <c:catAx>
        <c:axId val="163205187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32035552"/>
        <c:crosses val="autoZero"/>
        <c:auto val="1"/>
        <c:lblAlgn val="ctr"/>
        <c:lblOffset val="100"/>
        <c:noMultiLvlLbl val="0"/>
      </c:catAx>
      <c:valAx>
        <c:axId val="1632035552"/>
        <c:scaling>
          <c:orientation val="minMax"/>
        </c:scaling>
        <c:delete val="0"/>
        <c:axPos val="l"/>
        <c:numFmt formatCode="&quot;$&quot;#,##0;\-0;&quot;-&quot;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32051872"/>
        <c:crosses val="autoZero"/>
        <c:crossBetween val="between"/>
      </c:valAx>
      <c:valAx>
        <c:axId val="163205379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32037472"/>
        <c:crosses val="max"/>
        <c:crossBetween val="between"/>
      </c:valAx>
      <c:catAx>
        <c:axId val="1632037472"/>
        <c:scaling>
          <c:orientation val="minMax"/>
        </c:scaling>
        <c:delete val="1"/>
        <c:axPos val="b"/>
        <c:majorTickMark val="out"/>
        <c:minorTickMark val="none"/>
        <c:tickLblPos val="nextTo"/>
        <c:crossAx val="1632053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'Mine Overview'!$A$16</c:f>
              <c:strCache>
                <c:ptCount val="1"/>
                <c:pt idx="0">
                  <c:v>Total Opex (US$ mm)</c:v>
                </c:pt>
              </c:strCache>
            </c:strRef>
          </c:tx>
          <c:spPr>
            <a:solidFill>
              <a:srgbClr val="0B1F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'Mine Overview'!$C$15:$N$15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'Mine Overview'!$C$16:$N$16</c:f>
              <c:numCache>
                <c:formatCode>#,##0</c:formatCode>
                <c:ptCount val="12"/>
                <c:pt idx="0">
                  <c:v>1132.2133494902569</c:v>
                </c:pt>
                <c:pt idx="1">
                  <c:v>1475.1337740651099</c:v>
                </c:pt>
                <c:pt idx="2">
                  <c:v>1389.3621407417411</c:v>
                </c:pt>
                <c:pt idx="3">
                  <c:v>1086.589844586844</c:v>
                </c:pt>
                <c:pt idx="4">
                  <c:v>1362.9114468768539</c:v>
                </c:pt>
                <c:pt idx="5">
                  <c:v>710.42258295108809</c:v>
                </c:pt>
                <c:pt idx="6">
                  <c:v>918.09695557682119</c:v>
                </c:pt>
                <c:pt idx="7">
                  <c:v>1384.7517647770123</c:v>
                </c:pt>
                <c:pt idx="8">
                  <c:v>1485.8844873233288</c:v>
                </c:pt>
                <c:pt idx="9">
                  <c:v>906.87093135702412</c:v>
                </c:pt>
                <c:pt idx="10">
                  <c:v>832.40613642309609</c:v>
                </c:pt>
                <c:pt idx="11">
                  <c:v>704.84414590062374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A-4484-913C-A9762BB5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96548511"/>
        <c:axId val="1896556671"/>
      </c:barChart>
      <c:lineChart>
        <c:grouping val="standard"/>
        <c:varyColors val="0"/>
        <c:ser>
          <c:idx val="1"/>
          <c:order val="0"/>
          <c:tx>
            <c:strRef>
              <c:f>'Mine Overview'!$A$17</c:f>
              <c:strCache>
                <c:ptCount val="1"/>
                <c:pt idx="0">
                  <c:v>Total Capex (US$mm)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C6A54A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'Mine Overview'!$C$15:$N$15</c:f>
              <c:numCache>
                <c:formatCode>0</c:formatCod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</c:numCache>
            </c:numRef>
          </c:cat>
          <c:val>
            <c:numRef>
              <c:f>'Mine Overview'!$C$17:$N$17</c:f>
              <c:numCache>
                <c:formatCode>#,##0</c:formatCode>
                <c:ptCount val="12"/>
                <c:pt idx="0">
                  <c:v>34.142335766423351</c:v>
                </c:pt>
                <c:pt idx="1">
                  <c:v>34.142335766423351</c:v>
                </c:pt>
                <c:pt idx="2">
                  <c:v>34.142335766423351</c:v>
                </c:pt>
                <c:pt idx="3">
                  <c:v>34.142335766423351</c:v>
                </c:pt>
                <c:pt idx="4">
                  <c:v>34.142335766423351</c:v>
                </c:pt>
                <c:pt idx="5">
                  <c:v>40.492700729927002</c:v>
                </c:pt>
                <c:pt idx="6">
                  <c:v>34.142335766423351</c:v>
                </c:pt>
                <c:pt idx="7">
                  <c:v>34.142335766423351</c:v>
                </c:pt>
                <c:pt idx="8">
                  <c:v>34.142335766423351</c:v>
                </c:pt>
                <c:pt idx="9">
                  <c:v>34.142335766423351</c:v>
                </c:pt>
                <c:pt idx="10">
                  <c:v>34.142335766423351</c:v>
                </c:pt>
                <c:pt idx="11">
                  <c:v>161.73357664233575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A-4484-913C-A9762BB5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910991"/>
        <c:axId val="1497699551"/>
      </c:lineChart>
      <c:catAx>
        <c:axId val="11469109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497699551"/>
        <c:crosses val="autoZero"/>
        <c:auto val="1"/>
        <c:lblAlgn val="ctr"/>
        <c:lblOffset val="100"/>
        <c:noMultiLvlLbl val="0"/>
      </c:catAx>
      <c:valAx>
        <c:axId val="1497699551"/>
        <c:scaling>
          <c:orientation val="minMax"/>
        </c:scaling>
        <c:delete val="0"/>
        <c:axPos val="l"/>
        <c:numFmt formatCode="&quot;$&quot;#,#00;\-0;&quot;-&quot;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146910991"/>
        <c:crosses val="autoZero"/>
        <c:crossBetween val="between"/>
        <c:majorUnit val="50"/>
      </c:valAx>
      <c:valAx>
        <c:axId val="1896556671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96548511"/>
        <c:crosses val="max"/>
        <c:crossBetween val="between"/>
      </c:valAx>
      <c:catAx>
        <c:axId val="1896548511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96556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16485</xdr:colOff>
      <xdr:row>43</xdr:row>
      <xdr:rowOff>83321</xdr:rowOff>
    </xdr:from>
    <xdr:to>
      <xdr:col>9</xdr:col>
      <xdr:colOff>108008</xdr:colOff>
      <xdr:row>57</xdr:row>
      <xdr:rowOff>174683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2561D-3D23-011D-01EE-CAF505DA2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39</xdr:row>
      <xdr:rowOff>161925</xdr:rowOff>
    </xdr:from>
    <xdr:to>
      <xdr:col>5</xdr:col>
      <xdr:colOff>248412</xdr:colOff>
      <xdr:row>55</xdr:row>
      <xdr:rowOff>162350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B150C-3614-E52A-91A2-9F1D76F9D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6848475"/>
          <a:ext cx="5458587" cy="3048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10</xdr:row>
      <xdr:rowOff>42862</xdr:rowOff>
    </xdr:from>
    <xdr:to>
      <xdr:col>12</xdr:col>
      <xdr:colOff>309562</xdr:colOff>
      <xdr:row>24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2BF4D-F7D4-7BFC-B724-679EE4A7F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</xdr:colOff>
      <xdr:row>27</xdr:row>
      <xdr:rowOff>138545</xdr:rowOff>
    </xdr:from>
    <xdr:to>
      <xdr:col>3</xdr:col>
      <xdr:colOff>865908</xdr:colOff>
      <xdr:row>39</xdr:row>
      <xdr:rowOff>58883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761C3C-2843-5BD2-D5C0-83AA4E72F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413037</xdr:colOff>
      <xdr:row>27</xdr:row>
      <xdr:rowOff>179675</xdr:rowOff>
    </xdr:from>
    <xdr:to>
      <xdr:col>8</xdr:col>
      <xdr:colOff>811355</xdr:colOff>
      <xdr:row>39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3D8D6-A920-E660-D943-0AB4F2FAE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992331</xdr:colOff>
      <xdr:row>27</xdr:row>
      <xdr:rowOff>202623</xdr:rowOff>
    </xdr:from>
    <xdr:to>
      <xdr:col>14</xdr:col>
      <xdr:colOff>213013</xdr:colOff>
      <xdr:row>39</xdr:row>
      <xdr:rowOff>110837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B4881A-69B6-4F86-8EA4-677E3432B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375396</xdr:colOff>
      <xdr:row>27</xdr:row>
      <xdr:rowOff>202827</xdr:rowOff>
    </xdr:from>
    <xdr:to>
      <xdr:col>20</xdr:col>
      <xdr:colOff>207308</xdr:colOff>
      <xdr:row>38</xdr:row>
      <xdr:rowOff>234203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F3ECDE-D097-C65A-AA97-14B5B7104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482653</xdr:colOff>
      <xdr:row>27</xdr:row>
      <xdr:rowOff>178813</xdr:rowOff>
    </xdr:from>
    <xdr:to>
      <xdr:col>28</xdr:col>
      <xdr:colOff>178493</xdr:colOff>
      <xdr:row>38</xdr:row>
      <xdr:rowOff>223796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1496A0-92BF-4622-4253-3FD0E5DBE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167807</xdr:colOff>
      <xdr:row>0</xdr:row>
      <xdr:rowOff>178454</xdr:rowOff>
    </xdr:from>
    <xdr:to>
      <xdr:col>21</xdr:col>
      <xdr:colOff>475968</xdr:colOff>
      <xdr:row>15</xdr:row>
      <xdr:rowOff>41742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398B8E-A605-965E-6952-9055A9633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565897</xdr:colOff>
      <xdr:row>17</xdr:row>
      <xdr:rowOff>158002</xdr:rowOff>
    </xdr:from>
    <xdr:to>
      <xdr:col>11</xdr:col>
      <xdr:colOff>498662</xdr:colOff>
      <xdr:row>32</xdr:row>
      <xdr:rowOff>43702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93C74-BB02-3204-FEAB-0560D6680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71D2F5-0FB7-40C7-B772-6D01ECBC12AA}">
  <we:reference id="29673e3c-d826-4f00-92ee-162334a52b1a" version="1.0.0.0" store="EXCatalog" storeType="EXCatalog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p-skeena-resources-2024.s3.ca-central-1.amazonaws.com/media/2023/12/22074012/eskay_ck_technical_report_2023_final_22dec2023_-_sedar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torys.com/work/2024/06/75631740-9d8c-4327-adea-365cb4b93607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2BE1-CF49-46F4-B6F8-EC98B136E84A}">
  <sheetPr>
    <tabColor rgb="FF0B1F3B"/>
  </sheetPr>
  <dimension ref="A1:I43"/>
  <sheetViews>
    <sheetView showGridLines="0" tabSelected="1" zoomScaleNormal="100" workbookViewId="0">
      <selection activeCell="H33" sqref="H33"/>
    </sheetView>
  </sheetViews>
  <sheetFormatPr defaultRowHeight="15" x14ac:dyDescent="0.25"/>
  <cols>
    <col min="1" max="1" width="5.7109375" customWidth="1"/>
    <col min="2" max="2" width="47.5703125" customWidth="1"/>
    <col min="3" max="3" width="43.28515625" bestFit="1" customWidth="1"/>
    <col min="4" max="4" width="38.140625" customWidth="1"/>
    <col min="5" max="5" width="3.85546875" customWidth="1"/>
    <col min="6" max="6" width="34.28515625" customWidth="1"/>
    <col min="7" max="7" width="16.85546875" customWidth="1"/>
  </cols>
  <sheetData>
    <row r="1" spans="1:7" ht="15" customHeight="1" x14ac:dyDescent="0.25"/>
    <row r="2" spans="1:7" ht="30" customHeight="1" x14ac:dyDescent="0.35">
      <c r="A2" s="2"/>
      <c r="B2" s="3" t="s">
        <v>293</v>
      </c>
      <c r="C2" s="2"/>
      <c r="D2" s="2"/>
      <c r="E2" s="2"/>
      <c r="F2" s="2"/>
      <c r="G2" s="2"/>
    </row>
    <row r="3" spans="1:7" ht="18" x14ac:dyDescent="0.25">
      <c r="A3" s="2"/>
      <c r="B3" s="4" t="s">
        <v>294</v>
      </c>
      <c r="C3" s="2"/>
      <c r="D3" s="2"/>
      <c r="E3" s="2"/>
      <c r="F3" s="2"/>
      <c r="G3" s="2"/>
    </row>
    <row r="4" spans="1:7" x14ac:dyDescent="0.25">
      <c r="A4" s="2"/>
      <c r="B4" s="5" t="s">
        <v>399</v>
      </c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6" t="s">
        <v>295</v>
      </c>
      <c r="C6" s="506" t="s">
        <v>618</v>
      </c>
      <c r="D6" s="7" t="s">
        <v>296</v>
      </c>
      <c r="E6" s="2"/>
    </row>
    <row r="7" spans="1:7" x14ac:dyDescent="0.25">
      <c r="A7" s="2"/>
      <c r="B7" s="6" t="s">
        <v>297</v>
      </c>
      <c r="C7" s="8" t="s">
        <v>349</v>
      </c>
      <c r="D7" s="2"/>
      <c r="E7" s="2"/>
    </row>
    <row r="8" spans="1:7" x14ac:dyDescent="0.25">
      <c r="A8" s="2"/>
      <c r="B8" s="6" t="s">
        <v>298</v>
      </c>
      <c r="C8" s="8">
        <v>1</v>
      </c>
      <c r="D8" s="2"/>
      <c r="E8" s="2"/>
    </row>
    <row r="9" spans="1:7" x14ac:dyDescent="0.25">
      <c r="A9" s="2"/>
      <c r="B9" s="335" t="s">
        <v>470</v>
      </c>
      <c r="C9" s="339">
        <f>Comps!C5</f>
        <v>46094</v>
      </c>
      <c r="D9" s="336" t="s">
        <v>474</v>
      </c>
      <c r="E9" s="2"/>
    </row>
    <row r="10" spans="1:7" x14ac:dyDescent="0.25">
      <c r="A10" s="9"/>
      <c r="B10" s="10" t="s">
        <v>299</v>
      </c>
      <c r="C10" s="11"/>
      <c r="D10" s="12"/>
      <c r="E10" s="2"/>
      <c r="F10" s="396" t="s">
        <v>327</v>
      </c>
      <c r="G10" s="12"/>
    </row>
    <row r="11" spans="1:7" x14ac:dyDescent="0.25">
      <c r="A11" s="9"/>
      <c r="B11" s="13" t="s">
        <v>300</v>
      </c>
      <c r="C11" s="14" t="s">
        <v>301</v>
      </c>
      <c r="D11" s="15" t="s">
        <v>302</v>
      </c>
      <c r="E11" s="2"/>
      <c r="F11" s="16" t="s">
        <v>315</v>
      </c>
      <c r="G11" s="17" t="str">
        <f>'NAV Model'!C14</f>
        <v>Base</v>
      </c>
    </row>
    <row r="12" spans="1:7" x14ac:dyDescent="0.25">
      <c r="A12" s="9"/>
      <c r="B12" s="18" t="s">
        <v>303</v>
      </c>
      <c r="C12" s="19"/>
      <c r="D12" s="20"/>
      <c r="E12" s="2"/>
      <c r="F12" s="21" t="s">
        <v>508</v>
      </c>
      <c r="G12" s="22">
        <f>'NAV Model'!C6</f>
        <v>6383.9423121296331</v>
      </c>
    </row>
    <row r="13" spans="1:7" ht="15.75" x14ac:dyDescent="0.25">
      <c r="A13" s="9"/>
      <c r="B13" s="23" t="s">
        <v>529</v>
      </c>
      <c r="C13" s="357">
        <f>'NAV Model'!C8*'NAV Model'!$C$24</f>
        <v>43.100200000000008</v>
      </c>
      <c r="D13" s="24" t="s">
        <v>304</v>
      </c>
      <c r="E13" s="2"/>
      <c r="F13" s="25" t="s">
        <v>530</v>
      </c>
      <c r="G13" s="26">
        <f>'NAV Model'!C7*'NAV Model'!$C$24</f>
        <v>72.102233863294288</v>
      </c>
    </row>
    <row r="14" spans="1:7" x14ac:dyDescent="0.25">
      <c r="A14" s="9"/>
      <c r="B14" s="27" t="s">
        <v>9</v>
      </c>
      <c r="C14" s="28">
        <f>'NAV Model'!C32</f>
        <v>121.3</v>
      </c>
      <c r="D14" s="29" t="s">
        <v>305</v>
      </c>
      <c r="E14" s="2"/>
      <c r="F14" s="30" t="s">
        <v>531</v>
      </c>
      <c r="G14" s="31">
        <f>C13</f>
        <v>43.100200000000008</v>
      </c>
    </row>
    <row r="15" spans="1:7" x14ac:dyDescent="0.25">
      <c r="A15" s="9"/>
      <c r="B15" s="23" t="s">
        <v>92</v>
      </c>
      <c r="C15" s="32">
        <f>'NAV Model'!C24</f>
        <v>1.37</v>
      </c>
      <c r="D15" s="24" t="s">
        <v>306</v>
      </c>
      <c r="E15" s="2"/>
      <c r="F15" s="30" t="s">
        <v>2</v>
      </c>
      <c r="G15" s="35">
        <f>'NAV Model'!C9</f>
        <v>0.59776511337662441</v>
      </c>
    </row>
    <row r="16" spans="1:7" x14ac:dyDescent="0.25">
      <c r="A16" s="9"/>
      <c r="B16" s="34"/>
      <c r="C16" s="2"/>
      <c r="D16" s="9"/>
      <c r="E16" s="2"/>
      <c r="F16" s="33" t="s">
        <v>3</v>
      </c>
      <c r="G16" s="36">
        <f>'NAV Model'!C10</f>
        <v>12</v>
      </c>
    </row>
    <row r="17" spans="1:8" x14ac:dyDescent="0.25">
      <c r="A17" s="9"/>
      <c r="B17" s="18" t="s">
        <v>307</v>
      </c>
      <c r="C17" s="19"/>
      <c r="D17" s="20"/>
      <c r="E17" s="2"/>
      <c r="F17" s="30" t="s">
        <v>328</v>
      </c>
      <c r="G17" s="38">
        <f>'NAV Model'!C11</f>
        <v>2723.6147057405115</v>
      </c>
    </row>
    <row r="18" spans="1:8" x14ac:dyDescent="0.25">
      <c r="A18" s="9"/>
      <c r="B18" s="23" t="s">
        <v>308</v>
      </c>
      <c r="C18" s="37">
        <f>'Balance Sheet'!B7</f>
        <v>96941</v>
      </c>
      <c r="D18" s="24" t="s">
        <v>309</v>
      </c>
      <c r="E18" s="2"/>
      <c r="F18" s="33" t="s">
        <v>513</v>
      </c>
      <c r="G18" s="40">
        <f>'NAV Model'!C18</f>
        <v>3150</v>
      </c>
    </row>
    <row r="19" spans="1:8" ht="15.75" thickBot="1" x14ac:dyDescent="0.3">
      <c r="A19" s="9"/>
      <c r="B19" s="27" t="s">
        <v>310</v>
      </c>
      <c r="C19" s="39">
        <f>'Balance Sheet'!B20</f>
        <v>6303</v>
      </c>
      <c r="D19" s="29" t="s">
        <v>309</v>
      </c>
      <c r="E19" s="2"/>
      <c r="F19" s="41" t="s">
        <v>166</v>
      </c>
      <c r="G19" s="42">
        <f>'NAV Model'!C25</f>
        <v>0.05</v>
      </c>
    </row>
    <row r="20" spans="1:8" x14ac:dyDescent="0.25">
      <c r="A20" s="9"/>
      <c r="B20" s="23" t="s">
        <v>312</v>
      </c>
      <c r="C20" s="37">
        <f>'Balance Sheet'!B24</f>
        <v>7230</v>
      </c>
      <c r="D20" s="24" t="s">
        <v>309</v>
      </c>
      <c r="E20" s="2"/>
      <c r="F20" s="2"/>
      <c r="G20" s="2"/>
    </row>
    <row r="21" spans="1:8" x14ac:dyDescent="0.25">
      <c r="A21" s="9"/>
      <c r="B21" s="27" t="s">
        <v>313</v>
      </c>
      <c r="C21" s="39">
        <f>'Balance Sheet'!B25</f>
        <v>63886</v>
      </c>
      <c r="D21" s="29" t="s">
        <v>309</v>
      </c>
      <c r="E21" s="2"/>
      <c r="F21" s="396" t="s">
        <v>498</v>
      </c>
      <c r="G21" s="396"/>
      <c r="H21" s="12"/>
    </row>
    <row r="22" spans="1:8" x14ac:dyDescent="0.25">
      <c r="A22" s="9"/>
      <c r="B22" s="43" t="s">
        <v>532</v>
      </c>
      <c r="C22" s="44">
        <f>(SUM(C19:C21)-C18)/1000/'NAV Model'!C24</f>
        <v>-14.249635036496349</v>
      </c>
      <c r="D22" s="45" t="s">
        <v>314</v>
      </c>
      <c r="E22" s="2"/>
      <c r="F22" s="397" t="s">
        <v>499</v>
      </c>
      <c r="G22" s="404" t="s">
        <v>533</v>
      </c>
      <c r="H22" s="405" t="s">
        <v>500</v>
      </c>
    </row>
    <row r="23" spans="1:8" x14ac:dyDescent="0.25">
      <c r="A23" s="9"/>
      <c r="B23" s="34"/>
      <c r="C23" s="2"/>
      <c r="D23" s="9"/>
      <c r="E23" s="2"/>
      <c r="F23" s="401" t="s">
        <v>501</v>
      </c>
      <c r="G23" s="406">
        <f>Comps!O27</f>
        <v>59.844854106534264</v>
      </c>
      <c r="H23" s="399">
        <v>0.4</v>
      </c>
    </row>
    <row r="24" spans="1:8" x14ac:dyDescent="0.25">
      <c r="A24" s="9"/>
      <c r="B24" s="18" t="s">
        <v>277</v>
      </c>
      <c r="C24" s="19"/>
      <c r="D24" s="20"/>
      <c r="E24" s="2"/>
      <c r="F24" s="401" t="s">
        <v>610</v>
      </c>
      <c r="G24" s="406">
        <f>Comps!P27</f>
        <v>50.508820193757323</v>
      </c>
      <c r="H24" s="416">
        <v>0.2</v>
      </c>
    </row>
    <row r="25" spans="1:8" x14ac:dyDescent="0.25">
      <c r="A25" s="9"/>
      <c r="B25" s="23" t="s">
        <v>315</v>
      </c>
      <c r="C25" s="47" t="str">
        <f>'NAV Model'!C14</f>
        <v>Base</v>
      </c>
      <c r="D25" s="24" t="s">
        <v>316</v>
      </c>
      <c r="E25" s="2"/>
      <c r="F25" s="401" t="s">
        <v>617</v>
      </c>
      <c r="G25" s="406">
        <f>Comps!Q27</f>
        <v>38.222003563545464</v>
      </c>
      <c r="H25" s="416">
        <v>0.1</v>
      </c>
    </row>
    <row r="26" spans="1:8" x14ac:dyDescent="0.25">
      <c r="A26" s="9"/>
      <c r="B26" s="27" t="s">
        <v>317</v>
      </c>
      <c r="C26" s="48" t="s">
        <v>318</v>
      </c>
      <c r="D26" s="29" t="s">
        <v>319</v>
      </c>
      <c r="E26" s="2"/>
      <c r="F26" s="401" t="s">
        <v>502</v>
      </c>
      <c r="G26" s="406">
        <f>PTA!J24</f>
        <v>79.312457249623719</v>
      </c>
      <c r="H26" s="399">
        <v>0.1</v>
      </c>
    </row>
    <row r="27" spans="1:8" x14ac:dyDescent="0.25">
      <c r="A27" s="9"/>
      <c r="B27" s="34"/>
      <c r="C27" s="2"/>
      <c r="D27" s="9"/>
      <c r="E27" s="2"/>
      <c r="F27" s="401" t="s">
        <v>503</v>
      </c>
      <c r="G27" s="406">
        <f>'Broker Summary'!D12</f>
        <v>52.2</v>
      </c>
      <c r="H27" s="399">
        <v>0.2</v>
      </c>
    </row>
    <row r="28" spans="1:8" x14ac:dyDescent="0.25">
      <c r="A28" s="9"/>
      <c r="B28" s="18" t="s">
        <v>320</v>
      </c>
      <c r="C28" s="19"/>
      <c r="D28" s="20"/>
      <c r="E28" s="2"/>
      <c r="F28" s="400" t="s">
        <v>536</v>
      </c>
      <c r="G28" s="407">
        <f>SUMPRODUCT(G23:G27,H23:H27)</f>
        <v>56.233151762682098</v>
      </c>
      <c r="H28" s="398"/>
    </row>
    <row r="29" spans="1:8" x14ac:dyDescent="0.25">
      <c r="A29" s="9"/>
      <c r="B29" s="23" t="s">
        <v>6</v>
      </c>
      <c r="C29" s="49">
        <f>'NAV Model'!C25</f>
        <v>0.05</v>
      </c>
      <c r="D29" s="24" t="s">
        <v>348</v>
      </c>
      <c r="E29" s="2"/>
      <c r="F29" s="401" t="s">
        <v>529</v>
      </c>
      <c r="G29" s="406">
        <f>C13</f>
        <v>43.100200000000008</v>
      </c>
      <c r="H29" s="399"/>
    </row>
    <row r="30" spans="1:8" ht="15.75" thickBot="1" x14ac:dyDescent="0.3">
      <c r="A30" s="9"/>
      <c r="B30" s="27" t="s">
        <v>321</v>
      </c>
      <c r="C30" s="50">
        <f>'NAV Model'!C26</f>
        <v>0.02</v>
      </c>
      <c r="D30" s="29" t="s">
        <v>322</v>
      </c>
      <c r="E30" s="2"/>
      <c r="F30" s="402" t="s">
        <v>482</v>
      </c>
      <c r="G30" s="417">
        <f>G28/G29-1</f>
        <v>0.30470744364717772</v>
      </c>
      <c r="H30" s="403"/>
    </row>
    <row r="31" spans="1:8" x14ac:dyDescent="0.25">
      <c r="A31" s="9"/>
      <c r="B31" s="23" t="s">
        <v>323</v>
      </c>
      <c r="C31" s="49">
        <f>'NAV Model'!C27</f>
        <v>0.27</v>
      </c>
      <c r="D31" s="24" t="s">
        <v>351</v>
      </c>
      <c r="E31" s="2"/>
    </row>
    <row r="32" spans="1:8" x14ac:dyDescent="0.25">
      <c r="A32" s="9"/>
      <c r="B32" s="27" t="s">
        <v>10</v>
      </c>
      <c r="C32" s="51" t="str">
        <f>'NAV Model'!C37</f>
        <v>Units-of-Production</v>
      </c>
      <c r="D32" s="29" t="s">
        <v>324</v>
      </c>
      <c r="E32" s="2"/>
    </row>
    <row r="33" spans="1:9" x14ac:dyDescent="0.25">
      <c r="A33" s="9"/>
      <c r="B33" s="23" t="s">
        <v>519</v>
      </c>
      <c r="C33" s="52">
        <f>'NAV Model'!C34</f>
        <v>520.43795620437947</v>
      </c>
      <c r="D33" s="24" t="s">
        <v>325</v>
      </c>
      <c r="E33" s="2"/>
    </row>
    <row r="34" spans="1:9" ht="15.75" thickBot="1" x14ac:dyDescent="0.3">
      <c r="A34" s="2"/>
      <c r="B34" s="53" t="s">
        <v>523</v>
      </c>
      <c r="C34" s="55">
        <f>'NAV Model'!C39</f>
        <v>127.5912408759124</v>
      </c>
      <c r="D34" s="54" t="s">
        <v>326</v>
      </c>
      <c r="E34" s="2"/>
      <c r="F34" s="396" t="s">
        <v>498</v>
      </c>
      <c r="G34" s="396"/>
      <c r="H34" s="396"/>
      <c r="I34" s="12"/>
    </row>
    <row r="35" spans="1:9" x14ac:dyDescent="0.25">
      <c r="A35" s="2"/>
      <c r="B35" s="2"/>
      <c r="C35" s="2"/>
      <c r="D35" s="2"/>
      <c r="E35" s="2"/>
      <c r="F35" s="397" t="s">
        <v>499</v>
      </c>
      <c r="G35" s="404" t="s">
        <v>534</v>
      </c>
      <c r="H35" s="404" t="s">
        <v>505</v>
      </c>
      <c r="I35" s="405" t="s">
        <v>535</v>
      </c>
    </row>
    <row r="36" spans="1:9" x14ac:dyDescent="0.25">
      <c r="A36" s="9"/>
      <c r="B36" s="56" t="s">
        <v>329</v>
      </c>
      <c r="C36" s="11"/>
      <c r="D36" s="12"/>
      <c r="E36" s="2"/>
      <c r="F36" s="401" t="s">
        <v>501</v>
      </c>
      <c r="G36" s="406">
        <f>Comps!O29</f>
        <v>23.79373717488712</v>
      </c>
      <c r="H36" s="406">
        <f t="shared" ref="H36:H41" si="0">I36-G36</f>
        <v>56.960764752002497</v>
      </c>
      <c r="I36" s="408">
        <f>Comps!O28</f>
        <v>80.754501926889617</v>
      </c>
    </row>
    <row r="37" spans="1:9" x14ac:dyDescent="0.25">
      <c r="A37" s="9"/>
      <c r="B37" s="57" t="s">
        <v>330</v>
      </c>
      <c r="C37" s="57" t="s">
        <v>331</v>
      </c>
      <c r="D37" s="46" t="s">
        <v>332</v>
      </c>
      <c r="E37" s="2"/>
      <c r="F37" s="401" t="s">
        <v>610</v>
      </c>
      <c r="G37" s="406">
        <f>Comps!P29</f>
        <v>18.510831704157347</v>
      </c>
      <c r="H37" s="406">
        <f t="shared" si="0"/>
        <v>56.797609792036987</v>
      </c>
      <c r="I37" s="408">
        <f>Comps!P28</f>
        <v>75.308441496194334</v>
      </c>
    </row>
    <row r="38" spans="1:9" x14ac:dyDescent="0.25">
      <c r="A38" s="9"/>
      <c r="B38" s="58" t="s">
        <v>333</v>
      </c>
      <c r="C38" s="59" t="s">
        <v>334</v>
      </c>
      <c r="D38" s="24" t="s">
        <v>335</v>
      </c>
      <c r="E38" s="2"/>
      <c r="F38" s="401" t="s">
        <v>617</v>
      </c>
      <c r="G38" s="406">
        <f>Comps!Q29</f>
        <v>15.783178895300908</v>
      </c>
      <c r="H38" s="406">
        <f t="shared" si="0"/>
        <v>27.850304791383046</v>
      </c>
      <c r="I38" s="408">
        <f>Comps!Q28</f>
        <v>43.633483686683952</v>
      </c>
    </row>
    <row r="39" spans="1:9" x14ac:dyDescent="0.25">
      <c r="A39" s="9"/>
      <c r="B39" s="60" t="s">
        <v>333</v>
      </c>
      <c r="C39" s="61" t="s">
        <v>336</v>
      </c>
      <c r="D39" s="29" t="s">
        <v>337</v>
      </c>
      <c r="E39" s="2"/>
      <c r="F39" s="401" t="s">
        <v>502</v>
      </c>
      <c r="G39" s="406">
        <f>PTA!J26</f>
        <v>69.218144508762506</v>
      </c>
      <c r="H39" s="406">
        <f t="shared" si="0"/>
        <v>38.935206286178925</v>
      </c>
      <c r="I39" s="408">
        <f>PTA!J25</f>
        <v>108.15335079494143</v>
      </c>
    </row>
    <row r="40" spans="1:9" x14ac:dyDescent="0.25">
      <c r="A40" s="9"/>
      <c r="B40" s="62" t="s">
        <v>338</v>
      </c>
      <c r="C40" s="59" t="s">
        <v>339</v>
      </c>
      <c r="D40" s="24" t="s">
        <v>340</v>
      </c>
      <c r="E40" s="2"/>
      <c r="F40" s="401" t="s">
        <v>609</v>
      </c>
      <c r="G40" s="406">
        <v>12.15</v>
      </c>
      <c r="H40" s="406">
        <f t="shared" si="0"/>
        <v>40.85</v>
      </c>
      <c r="I40" s="408">
        <v>53</v>
      </c>
    </row>
    <row r="41" spans="1:9" ht="15.75" thickBot="1" x14ac:dyDescent="0.3">
      <c r="A41" s="9"/>
      <c r="B41" s="63" t="s">
        <v>338</v>
      </c>
      <c r="C41" s="61" t="s">
        <v>341</v>
      </c>
      <c r="D41" s="29" t="s">
        <v>342</v>
      </c>
      <c r="E41" s="2"/>
      <c r="F41" s="411" t="s">
        <v>503</v>
      </c>
      <c r="G41" s="412">
        <f>'Broker Summary'!D9</f>
        <v>49</v>
      </c>
      <c r="H41" s="412">
        <f t="shared" si="0"/>
        <v>11</v>
      </c>
      <c r="I41" s="413">
        <f>'Broker Summary'!D5</f>
        <v>60</v>
      </c>
    </row>
    <row r="42" spans="1:9" x14ac:dyDescent="0.25">
      <c r="A42" s="9"/>
      <c r="B42" s="64" t="s">
        <v>343</v>
      </c>
      <c r="C42" s="59" t="s">
        <v>344</v>
      </c>
      <c r="D42" s="24" t="s">
        <v>345</v>
      </c>
      <c r="E42" s="2"/>
    </row>
    <row r="43" spans="1:9" ht="15.75" thickBot="1" x14ac:dyDescent="0.3">
      <c r="A43" s="2"/>
      <c r="B43" s="65" t="s">
        <v>343</v>
      </c>
      <c r="C43" s="66" t="s">
        <v>346</v>
      </c>
      <c r="D43" s="54" t="s">
        <v>347</v>
      </c>
      <c r="E43" s="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0A1B-4CF2-432E-B182-701A2A84498E}">
  <sheetPr>
    <tabColor rgb="FF0B1F3B"/>
  </sheetPr>
  <dimension ref="A1:J36"/>
  <sheetViews>
    <sheetView showGridLines="0" topLeftCell="D1" zoomScale="85" zoomScaleNormal="85" workbookViewId="0">
      <selection activeCell="J26" sqref="J26"/>
    </sheetView>
  </sheetViews>
  <sheetFormatPr defaultRowHeight="15" x14ac:dyDescent="0.25"/>
  <cols>
    <col min="1" max="1" width="45.7109375" customWidth="1"/>
    <col min="2" max="3" width="17.140625" customWidth="1"/>
    <col min="4" max="4" width="61" customWidth="1"/>
    <col min="6" max="6" width="19" customWidth="1"/>
    <col min="7" max="7" width="14.28515625" customWidth="1"/>
    <col min="8" max="10" width="13.28515625" customWidth="1"/>
  </cols>
  <sheetData>
    <row r="1" spans="1:10" ht="15.75" x14ac:dyDescent="0.25">
      <c r="A1" s="67" t="s">
        <v>73</v>
      </c>
      <c r="B1" s="2"/>
      <c r="C1" s="2"/>
      <c r="D1" s="2"/>
      <c r="E1" s="2"/>
      <c r="F1" s="67" t="s">
        <v>277</v>
      </c>
      <c r="G1" s="2"/>
      <c r="H1" s="2"/>
      <c r="I1" s="2"/>
      <c r="J1" s="2"/>
    </row>
    <row r="2" spans="1:10" x14ac:dyDescent="0.25">
      <c r="A2" s="7" t="s">
        <v>158</v>
      </c>
      <c r="B2" s="2"/>
      <c r="C2" s="2"/>
      <c r="D2" s="2"/>
      <c r="E2" s="2"/>
      <c r="F2" s="7" t="s">
        <v>278</v>
      </c>
      <c r="G2" s="2"/>
      <c r="H2" s="2"/>
      <c r="I2" s="2"/>
      <c r="J2" s="2"/>
    </row>
    <row r="3" spans="1:10" x14ac:dyDescent="0.25">
      <c r="A3" s="68" t="s">
        <v>273</v>
      </c>
      <c r="B3" s="2"/>
      <c r="C3" s="2"/>
      <c r="D3" s="2"/>
      <c r="E3" s="2"/>
      <c r="F3" s="7" t="s">
        <v>388</v>
      </c>
      <c r="G3" s="7" t="str">
        <f>'Cover Page'!C6</f>
        <v>March 13, 2026</v>
      </c>
      <c r="H3" s="2"/>
      <c r="I3" s="2"/>
      <c r="J3" s="2"/>
    </row>
    <row r="4" spans="1:10" x14ac:dyDescent="0.25">
      <c r="A4" s="2" t="s">
        <v>272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56" t="s">
        <v>159</v>
      </c>
      <c r="B5" s="11"/>
      <c r="C5" s="11"/>
      <c r="D5" s="11"/>
      <c r="E5" s="2"/>
      <c r="F5" s="528" t="s">
        <v>540</v>
      </c>
      <c r="G5" s="529"/>
      <c r="H5" s="69" t="s">
        <v>279</v>
      </c>
      <c r="I5" s="70" t="s">
        <v>280</v>
      </c>
      <c r="J5" s="71" t="s">
        <v>281</v>
      </c>
    </row>
    <row r="6" spans="1:10" ht="15.75" thickBot="1" x14ac:dyDescent="0.3">
      <c r="A6" s="72" t="s">
        <v>160</v>
      </c>
      <c r="B6" s="73" t="s">
        <v>21</v>
      </c>
      <c r="C6" s="73" t="s">
        <v>161</v>
      </c>
      <c r="D6" s="74" t="s">
        <v>365</v>
      </c>
      <c r="E6" s="2"/>
      <c r="F6" s="75" t="s">
        <v>282</v>
      </c>
      <c r="G6" s="76" t="s">
        <v>283</v>
      </c>
      <c r="H6" s="76" t="s">
        <v>162</v>
      </c>
      <c r="I6" s="76" t="s">
        <v>162</v>
      </c>
      <c r="J6" s="77" t="s">
        <v>162</v>
      </c>
    </row>
    <row r="7" spans="1:10" x14ac:dyDescent="0.25">
      <c r="A7" s="78" t="s">
        <v>33</v>
      </c>
      <c r="B7" s="79" t="s">
        <v>162</v>
      </c>
      <c r="C7" s="424">
        <f>I10</f>
        <v>3150</v>
      </c>
      <c r="D7" s="80" t="s">
        <v>366</v>
      </c>
      <c r="E7" s="2"/>
      <c r="F7" s="81">
        <v>2027</v>
      </c>
      <c r="G7" s="82" t="s">
        <v>284</v>
      </c>
      <c r="H7" s="83">
        <v>4075</v>
      </c>
      <c r="I7" s="83">
        <f>AVERAGE(H7,J7)</f>
        <v>5287.5</v>
      </c>
      <c r="J7" s="84">
        <v>6500</v>
      </c>
    </row>
    <row r="8" spans="1:10" x14ac:dyDescent="0.25">
      <c r="A8" s="85" t="s">
        <v>163</v>
      </c>
      <c r="B8" s="48" t="s">
        <v>162</v>
      </c>
      <c r="C8" s="425">
        <f>I17</f>
        <v>42</v>
      </c>
      <c r="D8" s="87" t="s">
        <v>367</v>
      </c>
      <c r="E8" s="2"/>
      <c r="F8" s="88">
        <v>2028</v>
      </c>
      <c r="G8" s="89" t="s">
        <v>284</v>
      </c>
      <c r="H8" s="90">
        <v>3675</v>
      </c>
      <c r="I8" s="90">
        <f t="shared" ref="I8:I10" si="0">AVERAGE(H8,J8)</f>
        <v>4837.5</v>
      </c>
      <c r="J8" s="91">
        <v>6000</v>
      </c>
    </row>
    <row r="9" spans="1:10" x14ac:dyDescent="0.25">
      <c r="A9" s="78" t="s">
        <v>164</v>
      </c>
      <c r="B9" s="79" t="s">
        <v>165</v>
      </c>
      <c r="C9" s="92">
        <v>0.74</v>
      </c>
      <c r="D9" s="93" t="s">
        <v>368</v>
      </c>
      <c r="E9" s="2"/>
      <c r="F9" s="81">
        <v>2029</v>
      </c>
      <c r="G9" s="82" t="s">
        <v>284</v>
      </c>
      <c r="H9" s="83">
        <v>3425</v>
      </c>
      <c r="I9" s="83">
        <f t="shared" si="0"/>
        <v>4462.5</v>
      </c>
      <c r="J9" s="84">
        <v>5500</v>
      </c>
    </row>
    <row r="10" spans="1:10" ht="15.75" thickBot="1" x14ac:dyDescent="0.3">
      <c r="A10" s="94" t="s">
        <v>166</v>
      </c>
      <c r="B10" s="95" t="s">
        <v>29</v>
      </c>
      <c r="C10" s="96">
        <v>0.05</v>
      </c>
      <c r="D10" s="428" t="s">
        <v>619</v>
      </c>
      <c r="E10" s="2"/>
      <c r="F10" s="98" t="s">
        <v>285</v>
      </c>
      <c r="G10" s="99" t="s">
        <v>286</v>
      </c>
      <c r="H10" s="100">
        <v>3000</v>
      </c>
      <c r="I10" s="100">
        <f t="shared" si="0"/>
        <v>3150</v>
      </c>
      <c r="J10" s="101">
        <v>3300</v>
      </c>
    </row>
    <row r="11" spans="1:10" x14ac:dyDescent="0.25">
      <c r="A11" s="94" t="s">
        <v>167</v>
      </c>
      <c r="B11" s="95" t="s">
        <v>29</v>
      </c>
      <c r="C11" s="96">
        <v>0.02</v>
      </c>
      <c r="D11" s="97" t="s">
        <v>369</v>
      </c>
      <c r="E11" s="2"/>
      <c r="F11" s="2"/>
      <c r="G11" s="2"/>
      <c r="H11" s="2"/>
      <c r="I11" s="2"/>
      <c r="J11" s="2"/>
    </row>
    <row r="12" spans="1:10" x14ac:dyDescent="0.25">
      <c r="A12" s="85" t="s">
        <v>168</v>
      </c>
      <c r="B12" s="48" t="s">
        <v>54</v>
      </c>
      <c r="C12" s="102" t="s">
        <v>169</v>
      </c>
      <c r="D12" s="103" t="s">
        <v>370</v>
      </c>
      <c r="E12" s="2"/>
      <c r="F12" s="530" t="s">
        <v>541</v>
      </c>
      <c r="G12" s="529"/>
      <c r="H12" s="69" t="s">
        <v>279</v>
      </c>
      <c r="I12" s="70" t="s">
        <v>280</v>
      </c>
      <c r="J12" s="71" t="s">
        <v>281</v>
      </c>
    </row>
    <row r="13" spans="1:10" x14ac:dyDescent="0.25">
      <c r="A13" s="78" t="s">
        <v>392</v>
      </c>
      <c r="B13" s="79" t="s">
        <v>393</v>
      </c>
      <c r="C13" s="104">
        <v>31.1035</v>
      </c>
      <c r="D13" s="105" t="s">
        <v>394</v>
      </c>
      <c r="E13" s="2"/>
      <c r="F13" s="75" t="s">
        <v>282</v>
      </c>
      <c r="G13" s="76" t="s">
        <v>283</v>
      </c>
      <c r="H13" s="76" t="s">
        <v>162</v>
      </c>
      <c r="I13" s="76" t="s">
        <v>162</v>
      </c>
      <c r="J13" s="77" t="s">
        <v>162</v>
      </c>
    </row>
    <row r="14" spans="1:10" x14ac:dyDescent="0.25">
      <c r="A14" s="56" t="s">
        <v>170</v>
      </c>
      <c r="B14" s="11"/>
      <c r="C14" s="11"/>
      <c r="D14" s="11"/>
      <c r="E14" s="2"/>
      <c r="F14" s="81">
        <v>2027</v>
      </c>
      <c r="G14" s="82" t="s">
        <v>284</v>
      </c>
      <c r="H14" s="83">
        <v>49.5</v>
      </c>
      <c r="I14" s="421">
        <v>80</v>
      </c>
      <c r="J14" s="84">
        <v>120</v>
      </c>
    </row>
    <row r="15" spans="1:10" ht="15.75" thickBot="1" x14ac:dyDescent="0.3">
      <c r="A15" s="72" t="s">
        <v>160</v>
      </c>
      <c r="B15" s="73" t="s">
        <v>21</v>
      </c>
      <c r="C15" s="73" t="s">
        <v>161</v>
      </c>
      <c r="D15" s="74" t="s">
        <v>365</v>
      </c>
      <c r="E15" s="2"/>
      <c r="F15" s="88">
        <v>2028</v>
      </c>
      <c r="G15" s="89" t="s">
        <v>284</v>
      </c>
      <c r="H15" s="90">
        <v>45.25</v>
      </c>
      <c r="I15" s="422">
        <v>65</v>
      </c>
      <c r="J15" s="91">
        <v>105</v>
      </c>
    </row>
    <row r="16" spans="1:10" x14ac:dyDescent="0.25">
      <c r="A16" s="59" t="s">
        <v>171</v>
      </c>
      <c r="B16" s="106" t="s">
        <v>172</v>
      </c>
      <c r="C16" s="107">
        <v>12</v>
      </c>
      <c r="D16" s="105" t="s">
        <v>371</v>
      </c>
      <c r="E16" s="2"/>
      <c r="F16" s="81">
        <v>2029</v>
      </c>
      <c r="G16" s="82" t="s">
        <v>284</v>
      </c>
      <c r="H16" s="83">
        <v>40.75</v>
      </c>
      <c r="I16" s="421">
        <v>55</v>
      </c>
      <c r="J16" s="84">
        <v>95</v>
      </c>
    </row>
    <row r="17" spans="1:10" ht="15.75" thickBot="1" x14ac:dyDescent="0.3">
      <c r="A17" s="61" t="s">
        <v>173</v>
      </c>
      <c r="B17" s="48" t="s">
        <v>174</v>
      </c>
      <c r="C17" s="108">
        <v>3</v>
      </c>
      <c r="D17" s="505" t="s">
        <v>372</v>
      </c>
      <c r="E17" s="2"/>
      <c r="F17" s="98" t="s">
        <v>285</v>
      </c>
      <c r="G17" s="99" t="s">
        <v>286</v>
      </c>
      <c r="H17" s="100">
        <v>33</v>
      </c>
      <c r="I17" s="423">
        <v>42</v>
      </c>
      <c r="J17" s="101">
        <v>70</v>
      </c>
    </row>
    <row r="18" spans="1:10" x14ac:dyDescent="0.25">
      <c r="A18" s="59" t="s">
        <v>175</v>
      </c>
      <c r="B18" s="106" t="s">
        <v>174</v>
      </c>
      <c r="C18" s="110">
        <v>3.5</v>
      </c>
      <c r="D18" s="111" t="s">
        <v>373</v>
      </c>
      <c r="E18" s="2"/>
      <c r="F18" s="2"/>
      <c r="G18" s="2"/>
      <c r="H18" s="2"/>
      <c r="I18" s="2"/>
      <c r="J18" s="2"/>
    </row>
    <row r="19" spans="1:10" x14ac:dyDescent="0.25">
      <c r="A19" s="61" t="s">
        <v>176</v>
      </c>
      <c r="B19" s="48" t="s">
        <v>147</v>
      </c>
      <c r="C19" s="108">
        <v>2.6</v>
      </c>
      <c r="D19" s="109" t="s">
        <v>374</v>
      </c>
      <c r="E19" s="2"/>
      <c r="F19" s="112" t="s">
        <v>289</v>
      </c>
      <c r="G19" s="2"/>
      <c r="H19" s="2"/>
      <c r="I19" s="2"/>
      <c r="J19" s="2"/>
    </row>
    <row r="20" spans="1:10" x14ac:dyDescent="0.25">
      <c r="A20" s="59" t="s">
        <v>177</v>
      </c>
      <c r="B20" s="106" t="s">
        <v>147</v>
      </c>
      <c r="C20" s="110">
        <v>68.7</v>
      </c>
      <c r="D20" s="111" t="s">
        <v>375</v>
      </c>
      <c r="E20" s="2"/>
      <c r="F20" s="58" t="s">
        <v>279</v>
      </c>
      <c r="G20" s="113" t="s">
        <v>290</v>
      </c>
      <c r="H20" s="2"/>
      <c r="I20" s="2"/>
      <c r="J20" s="2"/>
    </row>
    <row r="21" spans="1:10" x14ac:dyDescent="0.25">
      <c r="A21" s="94" t="s">
        <v>178</v>
      </c>
      <c r="B21" s="95" t="s">
        <v>29</v>
      </c>
      <c r="C21" s="96">
        <v>0.83</v>
      </c>
      <c r="D21" s="97" t="s">
        <v>376</v>
      </c>
      <c r="E21" s="2"/>
      <c r="F21" s="64" t="s">
        <v>280</v>
      </c>
      <c r="G21" s="427" t="s">
        <v>620</v>
      </c>
      <c r="H21" s="2"/>
      <c r="I21" s="2"/>
      <c r="J21" s="2"/>
    </row>
    <row r="22" spans="1:10" x14ac:dyDescent="0.25">
      <c r="A22" s="94" t="s">
        <v>179</v>
      </c>
      <c r="B22" s="95" t="s">
        <v>29</v>
      </c>
      <c r="C22" s="96">
        <v>0.91</v>
      </c>
      <c r="D22" s="97" t="s">
        <v>377</v>
      </c>
      <c r="E22" s="2"/>
      <c r="F22" s="114" t="s">
        <v>281</v>
      </c>
      <c r="G22" s="113" t="s">
        <v>291</v>
      </c>
      <c r="H22" s="2"/>
      <c r="I22" s="2"/>
      <c r="J22" s="2"/>
    </row>
    <row r="23" spans="1:10" x14ac:dyDescent="0.25">
      <c r="A23" s="59" t="s">
        <v>180</v>
      </c>
      <c r="B23" s="106" t="s">
        <v>181</v>
      </c>
      <c r="C23" s="115">
        <v>2769</v>
      </c>
      <c r="D23" s="80" t="s">
        <v>378</v>
      </c>
      <c r="E23" s="2"/>
      <c r="F23" s="2"/>
      <c r="G23" s="2"/>
      <c r="H23" s="2"/>
      <c r="I23" s="2"/>
      <c r="J23" s="2"/>
    </row>
    <row r="24" spans="1:10" x14ac:dyDescent="0.25">
      <c r="A24" s="61" t="s">
        <v>182</v>
      </c>
      <c r="B24" s="48" t="s">
        <v>181</v>
      </c>
      <c r="C24" s="86">
        <v>80052</v>
      </c>
      <c r="D24" s="87" t="s">
        <v>379</v>
      </c>
      <c r="E24" s="2"/>
      <c r="F24" s="2"/>
      <c r="G24" s="2"/>
      <c r="H24" s="2"/>
      <c r="I24" s="2"/>
      <c r="J24" s="2"/>
    </row>
    <row r="25" spans="1:10" x14ac:dyDescent="0.25">
      <c r="A25" s="59" t="s">
        <v>183</v>
      </c>
      <c r="B25" s="106" t="s">
        <v>181</v>
      </c>
      <c r="C25" s="115">
        <v>3891</v>
      </c>
      <c r="D25" s="80" t="s">
        <v>380</v>
      </c>
      <c r="E25" s="2"/>
      <c r="F25" s="2"/>
      <c r="G25" s="2"/>
      <c r="H25" s="2"/>
      <c r="I25" s="2"/>
      <c r="J25" s="2"/>
    </row>
    <row r="26" spans="1:10" x14ac:dyDescent="0.25">
      <c r="A26" s="61" t="s">
        <v>184</v>
      </c>
      <c r="B26" s="48" t="s">
        <v>185</v>
      </c>
      <c r="C26" s="86">
        <v>228</v>
      </c>
      <c r="D26" s="87" t="s">
        <v>381</v>
      </c>
      <c r="E26" s="2"/>
      <c r="F26" s="2"/>
      <c r="G26" s="2"/>
      <c r="H26" s="2"/>
      <c r="I26" s="2"/>
      <c r="J26" s="2"/>
    </row>
    <row r="27" spans="1:10" x14ac:dyDescent="0.25">
      <c r="A27" s="59" t="s">
        <v>311</v>
      </c>
      <c r="B27" s="106" t="s">
        <v>185</v>
      </c>
      <c r="C27" s="115">
        <v>6583</v>
      </c>
      <c r="D27" s="80" t="s">
        <v>382</v>
      </c>
      <c r="E27" s="2"/>
      <c r="F27" s="2"/>
      <c r="G27" s="2"/>
      <c r="H27" s="2"/>
      <c r="I27" s="2"/>
      <c r="J27" s="2"/>
    </row>
    <row r="28" spans="1:10" x14ac:dyDescent="0.25">
      <c r="A28" s="61" t="s">
        <v>186</v>
      </c>
      <c r="B28" s="48" t="s">
        <v>185</v>
      </c>
      <c r="C28" s="86">
        <v>320</v>
      </c>
      <c r="D28" s="87" t="s">
        <v>383</v>
      </c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56" t="s">
        <v>187</v>
      </c>
      <c r="B30" s="11"/>
      <c r="C30" s="11"/>
      <c r="D30" s="11"/>
      <c r="E30" s="2"/>
      <c r="F30" s="2"/>
      <c r="G30" s="2"/>
      <c r="H30" s="2"/>
      <c r="I30" s="2"/>
      <c r="J30" s="2"/>
    </row>
    <row r="31" spans="1:10" ht="15.75" thickBot="1" x14ac:dyDescent="0.3">
      <c r="A31" s="57" t="s">
        <v>160</v>
      </c>
      <c r="B31" s="73" t="s">
        <v>21</v>
      </c>
      <c r="C31" s="73" t="s">
        <v>161</v>
      </c>
      <c r="D31" s="74" t="s">
        <v>365</v>
      </c>
      <c r="E31" s="2"/>
      <c r="F31" s="2"/>
      <c r="G31" s="2"/>
      <c r="H31" s="2"/>
      <c r="I31" s="2"/>
      <c r="J31" s="2"/>
    </row>
    <row r="32" spans="1:10" x14ac:dyDescent="0.25">
      <c r="A32" s="116" t="s">
        <v>188</v>
      </c>
      <c r="B32" s="95" t="s">
        <v>97</v>
      </c>
      <c r="C32" s="117">
        <v>713</v>
      </c>
      <c r="D32" s="118" t="s">
        <v>384</v>
      </c>
      <c r="E32" s="2"/>
      <c r="F32" s="2"/>
      <c r="G32" s="2"/>
      <c r="H32" s="2"/>
      <c r="I32" s="2"/>
      <c r="J32" s="2"/>
    </row>
    <row r="33" spans="1:10" x14ac:dyDescent="0.25">
      <c r="A33" s="61" t="s">
        <v>189</v>
      </c>
      <c r="B33" s="48" t="s">
        <v>97</v>
      </c>
      <c r="C33" s="86">
        <v>9</v>
      </c>
      <c r="D33" s="87" t="s">
        <v>385</v>
      </c>
      <c r="E33" s="2"/>
      <c r="F33" s="2"/>
      <c r="G33" s="2"/>
      <c r="H33" s="2"/>
      <c r="I33" s="2"/>
      <c r="J33" s="2"/>
    </row>
    <row r="34" spans="1:10" x14ac:dyDescent="0.25">
      <c r="A34" s="59" t="s">
        <v>44</v>
      </c>
      <c r="B34" s="106" t="s">
        <v>97</v>
      </c>
      <c r="C34" s="115">
        <v>561</v>
      </c>
      <c r="D34" s="80" t="s">
        <v>386</v>
      </c>
      <c r="E34" s="2"/>
      <c r="F34" s="2"/>
      <c r="G34" s="2"/>
      <c r="H34" s="2"/>
      <c r="I34" s="2"/>
      <c r="J34" s="2"/>
    </row>
    <row r="35" spans="1:10" x14ac:dyDescent="0.25">
      <c r="A35" s="94" t="s">
        <v>190</v>
      </c>
      <c r="B35" s="95" t="s">
        <v>97</v>
      </c>
      <c r="C35" s="117">
        <v>174.8</v>
      </c>
      <c r="D35" s="118" t="s">
        <v>387</v>
      </c>
      <c r="E35" s="2"/>
      <c r="F35" s="2"/>
      <c r="G35" s="2"/>
      <c r="H35" s="2"/>
      <c r="I35" s="2"/>
      <c r="J35" s="2"/>
    </row>
    <row r="36" spans="1:10" x14ac:dyDescent="0.25">
      <c r="A36" s="119" t="s">
        <v>397</v>
      </c>
      <c r="B36" s="95" t="s">
        <v>97</v>
      </c>
      <c r="C36" s="117">
        <v>43.3</v>
      </c>
      <c r="D36" s="118" t="s">
        <v>398</v>
      </c>
      <c r="E36" s="2"/>
      <c r="F36" s="2"/>
      <c r="G36" s="2"/>
      <c r="H36" s="2"/>
      <c r="I36" s="2"/>
      <c r="J36" s="2"/>
    </row>
  </sheetData>
  <mergeCells count="2">
    <mergeCell ref="F5:G5"/>
    <mergeCell ref="F12:G12"/>
  </mergeCells>
  <hyperlinks>
    <hyperlink ref="A3" r:id="rId1" xr:uid="{D82E6B26-0A9D-4B14-9691-311850A3B2A0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BCD1-09EE-47C4-AAB7-11B06AC02843}">
  <sheetPr>
    <tabColor rgb="FF5A6772"/>
  </sheetPr>
  <dimension ref="A1"/>
  <sheetViews>
    <sheetView workbookViewId="0">
      <selection activeCell="U14" sqref="U14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0AC7-F951-4A5E-9E6D-1C83886A6428}">
  <sheetPr>
    <tabColor rgb="FFC6A54A"/>
  </sheetPr>
  <dimension ref="A1:Q135"/>
  <sheetViews>
    <sheetView showGridLines="0" topLeftCell="A47" zoomScale="73" zoomScaleNormal="145" workbookViewId="0">
      <selection activeCell="C42" sqref="C42"/>
    </sheetView>
  </sheetViews>
  <sheetFormatPr defaultRowHeight="15" x14ac:dyDescent="0.25"/>
  <cols>
    <col min="1" max="1" width="3.85546875" customWidth="1"/>
    <col min="2" max="2" width="48.42578125" bestFit="1" customWidth="1"/>
    <col min="3" max="3" width="17.140625" customWidth="1"/>
    <col min="4" max="17" width="15.5703125" customWidth="1"/>
  </cols>
  <sheetData>
    <row r="1" spans="1:17" ht="18" x14ac:dyDescent="0.25">
      <c r="A1" s="2"/>
      <c r="B1" s="120" t="s">
        <v>292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2"/>
      <c r="B2" s="121" t="s">
        <v>400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/>
      <c r="B3" s="113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 t="s">
        <v>395</v>
      </c>
      <c r="B5" s="56" t="s">
        <v>1</v>
      </c>
      <c r="C5" s="1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/>
      <c r="B6" s="122" t="s">
        <v>508</v>
      </c>
      <c r="C6" s="123">
        <f>Q116</f>
        <v>6383.9423121296331</v>
      </c>
      <c r="D6" s="2"/>
      <c r="E6" s="124"/>
      <c r="F6" s="507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/>
      <c r="B7" s="426" t="s">
        <v>507</v>
      </c>
      <c r="C7" s="125">
        <f>Q117</f>
        <v>52.629367783426488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/>
      <c r="B8" s="122" t="s">
        <v>509</v>
      </c>
      <c r="C8" s="126">
        <v>31.46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/>
      <c r="B9" s="122" t="s">
        <v>2</v>
      </c>
      <c r="C9" s="127">
        <f>IF(C7=0,0,C8/C7)</f>
        <v>0.59776511337662441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/>
      <c r="B10" s="122" t="s">
        <v>3</v>
      </c>
      <c r="C10" s="128">
        <f>'Economic Assumptions'!C16</f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/>
      <c r="B11" s="122" t="s">
        <v>4</v>
      </c>
      <c r="C11" s="129">
        <f>SUM(F62:Q62)/1000</f>
        <v>2723.6147057405115</v>
      </c>
      <c r="D11" s="2"/>
      <c r="E11" s="4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 t="s">
        <v>395</v>
      </c>
      <c r="B13" s="56" t="s">
        <v>5</v>
      </c>
      <c r="C13" s="1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130" t="s">
        <v>287</v>
      </c>
      <c r="C14" s="131" t="s">
        <v>280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122" t="s">
        <v>510</v>
      </c>
      <c r="C15" s="132">
        <f>INDEX('Economic Assumptions'!H7:J7,MATCH(C14,{"Bear","Base","Bull"},0))</f>
        <v>5287.5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122" t="s">
        <v>511</v>
      </c>
      <c r="C16" s="132">
        <f>INDEX('Economic Assumptions'!H8:J8,MATCH(C14,{"Bear","Base","Bull"},0))</f>
        <v>4837.5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122" t="s">
        <v>512</v>
      </c>
      <c r="C17" s="132">
        <f>INDEX('Economic Assumptions'!H9:J9,MATCH(C14,{"Bear","Base","Bull"},0))</f>
        <v>4462.5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122" t="s">
        <v>513</v>
      </c>
      <c r="C18" s="132">
        <f>INDEX('Economic Assumptions'!H10:J10,MATCH(C14,{"Bear","Base","Bull"},0))</f>
        <v>3150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133" t="s">
        <v>514</v>
      </c>
      <c r="C19" s="132">
        <f>INDEX('Economic Assumptions'!H14:J14,MATCH(C14,{"Bear","Base","Bull"},0))</f>
        <v>80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133" t="s">
        <v>515</v>
      </c>
      <c r="C20" s="132">
        <f>INDEX('Economic Assumptions'!H15:J15,MATCH(C14,{"Bear","Base","Bull"},0))</f>
        <v>65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133" t="s">
        <v>516</v>
      </c>
      <c r="C21" s="132">
        <f>INDEX('Economic Assumptions'!H16:J16,MATCH(C14,{"Bear","Base","Bull"},0))</f>
        <v>55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122" t="s">
        <v>517</v>
      </c>
      <c r="C22" s="134">
        <f>INDEX('Economic Assumptions'!H17:J17,MATCH(C14,{"Bear","Base","Bull"},0))</f>
        <v>42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122" t="s">
        <v>114</v>
      </c>
      <c r="C23" s="135">
        <f>IFERROR(C18/C22,0)</f>
        <v>75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122" t="s">
        <v>92</v>
      </c>
      <c r="C24" s="136">
        <v>1.37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122" t="s">
        <v>6</v>
      </c>
      <c r="C25" s="137">
        <f>'Economic Assumptions'!C10</f>
        <v>0.05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122" t="s">
        <v>7</v>
      </c>
      <c r="C26" s="138">
        <f>'Economic Assumptions'!C11</f>
        <v>0.02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122" t="s">
        <v>8</v>
      </c>
      <c r="C27" s="139">
        <v>0.27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122" t="s">
        <v>352</v>
      </c>
      <c r="C28" s="139">
        <v>0.15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122" t="s">
        <v>353</v>
      </c>
      <c r="C29" s="139">
        <v>0.12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122" t="s">
        <v>389</v>
      </c>
      <c r="C30" s="139">
        <v>0.02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122" t="s">
        <v>390</v>
      </c>
      <c r="C31" s="139">
        <v>0.13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122" t="s">
        <v>9</v>
      </c>
      <c r="C32" s="140">
        <v>121.3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122" t="s">
        <v>518</v>
      </c>
      <c r="C33" s="141">
        <f>(61.7-108.2)/'Cover Page'!C15</f>
        <v>-33.941605839416056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122" t="s">
        <v>519</v>
      </c>
      <c r="C34" s="141">
        <f>'Economic Assumptions'!C32/C24</f>
        <v>520.43795620437947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122" t="s">
        <v>520</v>
      </c>
      <c r="C35" s="141">
        <f>C34</f>
        <v>520.43795620437947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122" t="s">
        <v>521</v>
      </c>
      <c r="C36" s="142">
        <f>437.742/'Cover Page'!C15</f>
        <v>319.51970802919709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122" t="s">
        <v>10</v>
      </c>
      <c r="C37" s="143" t="s">
        <v>275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122" t="s">
        <v>522</v>
      </c>
      <c r="C38" s="142">
        <v>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122" t="s">
        <v>523</v>
      </c>
      <c r="C39" s="141">
        <f>'Economic Assumptions'!C35/C24</f>
        <v>127.5912408759124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122" t="s">
        <v>524</v>
      </c>
      <c r="C40" s="141">
        <f>'Economic Assumptions'!C36/C24</f>
        <v>31.605839416058391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122" t="s">
        <v>405</v>
      </c>
      <c r="C41" s="144" t="s">
        <v>409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527" t="s">
        <v>625</v>
      </c>
      <c r="C42" s="526" t="s">
        <v>628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527" t="s">
        <v>621</v>
      </c>
      <c r="C43" s="521">
        <v>0.1055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527" t="s">
        <v>622</v>
      </c>
      <c r="C44" s="522">
        <v>0.1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527" t="s">
        <v>626</v>
      </c>
      <c r="C45" s="525">
        <v>179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 t="s">
        <v>395</v>
      </c>
      <c r="B47" s="56" t="s">
        <v>11</v>
      </c>
      <c r="C47" s="11"/>
      <c r="D47" s="11"/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145" t="s">
        <v>12</v>
      </c>
      <c r="C48" s="290" t="str">
        <f>'Reserve &amp; Resource'!B4</f>
        <v>Tonnes (000)</v>
      </c>
      <c r="D48" s="146" t="s">
        <v>13</v>
      </c>
      <c r="E48" s="146" t="s">
        <v>14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122" t="s">
        <v>15</v>
      </c>
      <c r="C49" s="229">
        <f>'Reserve &amp; Resource'!B14</f>
        <v>27954</v>
      </c>
      <c r="D49" s="230">
        <f>'Reserve &amp; Resource'!D14</f>
        <v>3</v>
      </c>
      <c r="E49" s="229">
        <f>C49*D49*1000/'Economic Assumptions'!$C$13/1000</f>
        <v>2696.2238976320991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31" t="s">
        <v>16</v>
      </c>
      <c r="C50" s="232">
        <f>'Reserve &amp; Resource'!B15</f>
        <v>11889</v>
      </c>
      <c r="D50" s="233">
        <f>'Reserve &amp; Resource'!D15</f>
        <v>1.8</v>
      </c>
      <c r="E50" s="232">
        <f>C50*D50*1000/'Economic Assumptions'!$C$13/1000</f>
        <v>688.0318935168068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94" t="s">
        <v>17</v>
      </c>
      <c r="C51" s="295">
        <f>SUM(C49:C50)</f>
        <v>39843</v>
      </c>
      <c r="D51" s="296">
        <f>IF(C51=0,0,(E51*1000*31.1035)/(C51*1000))</f>
        <v>2.6419245538739551</v>
      </c>
      <c r="E51" s="295">
        <f>SUM(E49:E50)</f>
        <v>3384.2557911489057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91" t="s">
        <v>18</v>
      </c>
      <c r="C52" s="292">
        <f>'Reserve &amp; Resource'!B5</f>
        <v>27814</v>
      </c>
      <c r="D52" s="293">
        <f>'Reserve &amp; Resource'!D5</f>
        <v>3.3</v>
      </c>
      <c r="E52" s="292">
        <f>C52*D52*1000/'Economic Assumptions'!$C$13/1000</f>
        <v>2950.9926535598888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122" t="s">
        <v>19</v>
      </c>
      <c r="C53" s="229">
        <f>'Reserve &amp; Resource'!B6</f>
        <v>22264</v>
      </c>
      <c r="D53" s="230">
        <f>'Reserve &amp; Resource'!D6</f>
        <v>1.6</v>
      </c>
      <c r="E53" s="229">
        <f>C53*D53*1000/'Economic Assumptions'!$C$13/1000</f>
        <v>1145.2859003006092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 t="s">
        <v>395</v>
      </c>
      <c r="B55" s="56" t="s">
        <v>20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x14ac:dyDescent="0.25">
      <c r="A56" s="2"/>
      <c r="B56" s="145"/>
      <c r="C56" s="146" t="s">
        <v>21</v>
      </c>
      <c r="D56" s="150" t="s">
        <v>22</v>
      </c>
      <c r="E56" s="150" t="s">
        <v>23</v>
      </c>
      <c r="F56" s="151">
        <v>2027</v>
      </c>
      <c r="G56" s="151">
        <v>2028</v>
      </c>
      <c r="H56" s="151">
        <v>2029</v>
      </c>
      <c r="I56" s="151">
        <v>2030</v>
      </c>
      <c r="J56" s="151">
        <v>2031</v>
      </c>
      <c r="K56" s="151">
        <v>2032</v>
      </c>
      <c r="L56" s="151">
        <v>2033</v>
      </c>
      <c r="M56" s="151">
        <v>2034</v>
      </c>
      <c r="N56" s="151">
        <v>2035</v>
      </c>
      <c r="O56" s="151">
        <v>2036</v>
      </c>
      <c r="P56" s="151">
        <v>2037</v>
      </c>
      <c r="Q56" s="151">
        <v>2038</v>
      </c>
    </row>
    <row r="57" spans="1:17" x14ac:dyDescent="0.25">
      <c r="A57" s="2"/>
      <c r="B57" s="122" t="s">
        <v>24</v>
      </c>
      <c r="C57" s="152" t="s">
        <v>25</v>
      </c>
      <c r="D57" s="153">
        <f>SUM(F57:Q57)</f>
        <v>39.159999999999997</v>
      </c>
      <c r="E57" s="153">
        <f>D57/12</f>
        <v>3.2633333333333332</v>
      </c>
      <c r="F57" s="147">
        <f>'Production Schedule'!F15</f>
        <v>2.96</v>
      </c>
      <c r="G57" s="147">
        <f>'Production Schedule'!G15</f>
        <v>3.01</v>
      </c>
      <c r="H57" s="147">
        <f>'Production Schedule'!H15</f>
        <v>3</v>
      </c>
      <c r="I57" s="147">
        <f>'Production Schedule'!I15</f>
        <v>3</v>
      </c>
      <c r="J57" s="147">
        <f>'Production Schedule'!J15</f>
        <v>3</v>
      </c>
      <c r="K57" s="147">
        <f>'Production Schedule'!K15</f>
        <v>3.51</v>
      </c>
      <c r="L57" s="147">
        <f>'Production Schedule'!L15</f>
        <v>3.5</v>
      </c>
      <c r="M57" s="147">
        <f>'Production Schedule'!M15</f>
        <v>3.5</v>
      </c>
      <c r="N57" s="147">
        <f>'Production Schedule'!N15</f>
        <v>3.5</v>
      </c>
      <c r="O57" s="147">
        <f>'Production Schedule'!O15</f>
        <v>3.51</v>
      </c>
      <c r="P57" s="147">
        <f>'Production Schedule'!P15</f>
        <v>3.5</v>
      </c>
      <c r="Q57" s="147">
        <f>'Production Schedule'!Q15</f>
        <v>3.17</v>
      </c>
    </row>
    <row r="58" spans="1:17" x14ac:dyDescent="0.25">
      <c r="A58" s="2"/>
      <c r="B58" s="122" t="s">
        <v>404</v>
      </c>
      <c r="C58" s="152" t="s">
        <v>25</v>
      </c>
      <c r="D58" s="153">
        <f>SUM(F58:Q58)</f>
        <v>0</v>
      </c>
      <c r="E58" s="153">
        <f>D58/12</f>
        <v>0</v>
      </c>
      <c r="F58" s="147">
        <f>IF(C41="Yes",('Reserve &amp; Resource'!B22/12/1000),0)</f>
        <v>0</v>
      </c>
      <c r="G58" s="147">
        <f>F58</f>
        <v>0</v>
      </c>
      <c r="H58" s="147">
        <f t="shared" ref="H58:Q58" si="0">G58</f>
        <v>0</v>
      </c>
      <c r="I58" s="147">
        <f t="shared" si="0"/>
        <v>0</v>
      </c>
      <c r="J58" s="147">
        <f t="shared" si="0"/>
        <v>0</v>
      </c>
      <c r="K58" s="147">
        <f t="shared" si="0"/>
        <v>0</v>
      </c>
      <c r="L58" s="147">
        <f t="shared" si="0"/>
        <v>0</v>
      </c>
      <c r="M58" s="147">
        <f t="shared" si="0"/>
        <v>0</v>
      </c>
      <c r="N58" s="147">
        <f t="shared" si="0"/>
        <v>0</v>
      </c>
      <c r="O58" s="147">
        <f t="shared" si="0"/>
        <v>0</v>
      </c>
      <c r="P58" s="147">
        <f t="shared" si="0"/>
        <v>0</v>
      </c>
      <c r="Q58" s="147">
        <f t="shared" si="0"/>
        <v>0</v>
      </c>
    </row>
    <row r="59" spans="1:17" x14ac:dyDescent="0.25">
      <c r="A59" s="2"/>
      <c r="B59" s="122" t="s">
        <v>406</v>
      </c>
      <c r="C59" s="152" t="s">
        <v>25</v>
      </c>
      <c r="D59" s="153">
        <f>SUM(F59:Q59)</f>
        <v>39.159999999999997</v>
      </c>
      <c r="E59" s="153">
        <f>D59/12</f>
        <v>3.2633333333333332</v>
      </c>
      <c r="F59" s="147">
        <f>SUM(F57:F58)</f>
        <v>2.96</v>
      </c>
      <c r="G59" s="147">
        <f t="shared" ref="G59:Q59" si="1">SUM(G57:G58)</f>
        <v>3.01</v>
      </c>
      <c r="H59" s="147">
        <f t="shared" si="1"/>
        <v>3</v>
      </c>
      <c r="I59" s="147">
        <f t="shared" si="1"/>
        <v>3</v>
      </c>
      <c r="J59" s="147">
        <f t="shared" si="1"/>
        <v>3</v>
      </c>
      <c r="K59" s="147">
        <f t="shared" si="1"/>
        <v>3.51</v>
      </c>
      <c r="L59" s="147">
        <f t="shared" si="1"/>
        <v>3.5</v>
      </c>
      <c r="M59" s="147">
        <f t="shared" si="1"/>
        <v>3.5</v>
      </c>
      <c r="N59" s="147">
        <f t="shared" si="1"/>
        <v>3.5</v>
      </c>
      <c r="O59" s="147">
        <f t="shared" si="1"/>
        <v>3.51</v>
      </c>
      <c r="P59" s="147">
        <f t="shared" si="1"/>
        <v>3.5</v>
      </c>
      <c r="Q59" s="147">
        <f t="shared" si="1"/>
        <v>3.17</v>
      </c>
    </row>
    <row r="60" spans="1:17" x14ac:dyDescent="0.25">
      <c r="A60" s="2"/>
      <c r="B60" s="122" t="s">
        <v>26</v>
      </c>
      <c r="C60" s="152" t="s">
        <v>27</v>
      </c>
      <c r="D60" s="19"/>
      <c r="E60" s="154">
        <f>IFERROR(AVERAGE(F60:Q60),0)</f>
        <v>2.6750000000000003</v>
      </c>
      <c r="F60" s="148">
        <f>'Production Schedule'!F16</f>
        <v>5</v>
      </c>
      <c r="G60" s="148">
        <f>'Production Schedule'!G16</f>
        <v>3.4</v>
      </c>
      <c r="H60" s="148">
        <f>'Production Schedule'!H16</f>
        <v>3.9</v>
      </c>
      <c r="I60" s="148">
        <f>'Production Schedule'!I16</f>
        <v>3.6</v>
      </c>
      <c r="J60" s="148">
        <f>'Production Schedule'!J16</f>
        <v>3.9</v>
      </c>
      <c r="K60" s="148">
        <f>'Production Schedule'!K16</f>
        <v>3.3</v>
      </c>
      <c r="L60" s="148">
        <f>'Production Schedule'!L16</f>
        <v>1.9</v>
      </c>
      <c r="M60" s="148">
        <f>'Production Schedule'!M16</f>
        <v>2.6</v>
      </c>
      <c r="N60" s="148">
        <f>'Production Schedule'!N16</f>
        <v>1.7</v>
      </c>
      <c r="O60" s="148">
        <f>'Production Schedule'!O16</f>
        <v>1.2</v>
      </c>
      <c r="P60" s="148">
        <f>'Production Schedule'!P16</f>
        <v>0.8</v>
      </c>
      <c r="Q60" s="148">
        <f>'Production Schedule'!Q16</f>
        <v>0.8</v>
      </c>
    </row>
    <row r="61" spans="1:17" x14ac:dyDescent="0.25">
      <c r="A61" s="2"/>
      <c r="B61" s="122" t="s">
        <v>28</v>
      </c>
      <c r="C61" s="152" t="s">
        <v>29</v>
      </c>
      <c r="D61" s="19"/>
      <c r="E61" s="155">
        <f>IFERROR(AVERAGE(F61:Q61),0)</f>
        <v>0.83</v>
      </c>
      <c r="F61" s="138">
        <f>'Economic Assumptions'!$C$21</f>
        <v>0.83</v>
      </c>
      <c r="G61" s="138">
        <f>'Economic Assumptions'!$C$21</f>
        <v>0.83</v>
      </c>
      <c r="H61" s="138">
        <f>'Economic Assumptions'!$C$21</f>
        <v>0.83</v>
      </c>
      <c r="I61" s="138">
        <f>'Economic Assumptions'!$C$21</f>
        <v>0.83</v>
      </c>
      <c r="J61" s="138">
        <f>'Economic Assumptions'!$C$21</f>
        <v>0.83</v>
      </c>
      <c r="K61" s="138">
        <f>'Economic Assumptions'!$C$21</f>
        <v>0.83</v>
      </c>
      <c r="L61" s="138">
        <f>'Economic Assumptions'!$C$21</f>
        <v>0.83</v>
      </c>
      <c r="M61" s="138">
        <f>'Economic Assumptions'!$C$21</f>
        <v>0.83</v>
      </c>
      <c r="N61" s="138">
        <f>'Economic Assumptions'!$C$21</f>
        <v>0.83</v>
      </c>
      <c r="O61" s="138">
        <f>'Economic Assumptions'!$C$21</f>
        <v>0.83</v>
      </c>
      <c r="P61" s="138">
        <f>'Economic Assumptions'!$C$21</f>
        <v>0.83</v>
      </c>
      <c r="Q61" s="138">
        <f>'Economic Assumptions'!$C$21</f>
        <v>0.83</v>
      </c>
    </row>
    <row r="62" spans="1:17" x14ac:dyDescent="0.25">
      <c r="A62" s="2"/>
      <c r="B62" s="156" t="s">
        <v>30</v>
      </c>
      <c r="C62" s="157" t="s">
        <v>31</v>
      </c>
      <c r="D62" s="158">
        <f>SUM(F62:Q62)</f>
        <v>2723614.7057405114</v>
      </c>
      <c r="E62" s="158">
        <f>D62/12</f>
        <v>226967.89214504263</v>
      </c>
      <c r="F62" s="159">
        <f>F59*F60*F61*1000000/'Economic Assumptions'!$C$13</f>
        <v>394939.47626472905</v>
      </c>
      <c r="G62" s="159">
        <f>G59*G60*G61*1000000/'Economic Assumptions'!$C$13</f>
        <v>273095.31081711053</v>
      </c>
      <c r="H62" s="159">
        <f>H59*H60*H61*1000000/'Economic Assumptions'!$C$13</f>
        <v>312215.66704711685</v>
      </c>
      <c r="I62" s="159">
        <f>I59*I60*I61*1000000/'Economic Assumptions'!$C$13</f>
        <v>288199.07727426174</v>
      </c>
      <c r="J62" s="159">
        <f>J59*J60*J61*1000000/'Economic Assumptions'!$C$13</f>
        <v>312215.66704711685</v>
      </c>
      <c r="K62" s="159">
        <f>K59*K60*K61*1000000/'Economic Assumptions'!$C$13</f>
        <v>309093.51037664566</v>
      </c>
      <c r="L62" s="159">
        <f>L59*L60*L61*1000000/'Economic Assumptions'!$C$13</f>
        <v>177455.91332165187</v>
      </c>
      <c r="M62" s="159">
        <f>M59*M60*M61*1000000/'Economic Assumptions'!$C$13</f>
        <v>242834.4077033131</v>
      </c>
      <c r="N62" s="159">
        <f>N59*N60*N61*1000000/'Economic Assumptions'!$C$13</f>
        <v>158776.34349832012</v>
      </c>
      <c r="O62" s="159">
        <f>O59*O60*O61*1000000/'Economic Assumptions'!$C$13</f>
        <v>112397.64013696206</v>
      </c>
      <c r="P62" s="159">
        <f>P59*P60*P61*1000000/'Economic Assumptions'!$C$13</f>
        <v>74718.279293327127</v>
      </c>
      <c r="Q62" s="159">
        <f>Q59*Q60*Q61*1000000/'Economic Assumptions'!$C$13</f>
        <v>67673.412959956273</v>
      </c>
    </row>
    <row r="63" spans="1:17" x14ac:dyDescent="0.25">
      <c r="A63" s="2"/>
      <c r="B63" s="160" t="s">
        <v>115</v>
      </c>
      <c r="C63" s="152" t="s">
        <v>116</v>
      </c>
      <c r="D63" s="161"/>
      <c r="E63" s="162">
        <f>IFERROR(AVERAGE(F63:Q63),0)</f>
        <v>70.866666666666674</v>
      </c>
      <c r="F63" s="163">
        <f>'Production Schedule'!F17</f>
        <v>91.4</v>
      </c>
      <c r="G63" s="163">
        <f>'Production Schedule'!G17</f>
        <v>86</v>
      </c>
      <c r="H63" s="163">
        <f>'Production Schedule'!H17</f>
        <v>115.2</v>
      </c>
      <c r="I63" s="163">
        <f>'Production Schedule'!I17</f>
        <v>101.3</v>
      </c>
      <c r="J63" s="163">
        <f>'Production Schedule'!J17</f>
        <v>147.6</v>
      </c>
      <c r="K63" s="163">
        <f>'Production Schedule'!K17</f>
        <v>63</v>
      </c>
      <c r="L63" s="163">
        <f>'Production Schedule'!L17</f>
        <v>40.9</v>
      </c>
      <c r="M63" s="163">
        <f>'Production Schedule'!M17</f>
        <v>95.6</v>
      </c>
      <c r="N63" s="163">
        <f>'Production Schedule'!N17</f>
        <v>60.7</v>
      </c>
      <c r="O63" s="163">
        <f>'Production Schedule'!O17</f>
        <v>23.6</v>
      </c>
      <c r="P63" s="163">
        <f>'Production Schedule'!P17</f>
        <v>13.7</v>
      </c>
      <c r="Q63" s="163">
        <f>'Production Schedule'!Q17</f>
        <v>11.4</v>
      </c>
    </row>
    <row r="64" spans="1:17" x14ac:dyDescent="0.25">
      <c r="A64" s="2"/>
      <c r="B64" s="160" t="s">
        <v>117</v>
      </c>
      <c r="C64" s="152" t="s">
        <v>29</v>
      </c>
      <c r="D64" s="161"/>
      <c r="E64" s="164">
        <f>IFERROR(AVERAGE(F64:Q64),0)</f>
        <v>0.91</v>
      </c>
      <c r="F64" s="165">
        <f>'Economic Assumptions'!$C$22</f>
        <v>0.91</v>
      </c>
      <c r="G64" s="165">
        <f>'Economic Assumptions'!$C$22</f>
        <v>0.91</v>
      </c>
      <c r="H64" s="165">
        <f>'Economic Assumptions'!$C$22</f>
        <v>0.91</v>
      </c>
      <c r="I64" s="165">
        <f>'Economic Assumptions'!$C$22</f>
        <v>0.91</v>
      </c>
      <c r="J64" s="165">
        <f>'Economic Assumptions'!$C$22</f>
        <v>0.91</v>
      </c>
      <c r="K64" s="165">
        <f>'Economic Assumptions'!$C$22</f>
        <v>0.91</v>
      </c>
      <c r="L64" s="165">
        <f>'Economic Assumptions'!$C$22</f>
        <v>0.91</v>
      </c>
      <c r="M64" s="165">
        <f>'Economic Assumptions'!$C$22</f>
        <v>0.91</v>
      </c>
      <c r="N64" s="165">
        <f>'Economic Assumptions'!$C$22</f>
        <v>0.91</v>
      </c>
      <c r="O64" s="165">
        <f>'Economic Assumptions'!$C$22</f>
        <v>0.91</v>
      </c>
      <c r="P64" s="165">
        <f>'Economic Assumptions'!$C$22</f>
        <v>0.91</v>
      </c>
      <c r="Q64" s="165">
        <f>'Economic Assumptions'!$C$22</f>
        <v>0.91</v>
      </c>
    </row>
    <row r="65" spans="1:17" x14ac:dyDescent="0.25">
      <c r="A65" s="2"/>
      <c r="B65" s="156" t="s">
        <v>118</v>
      </c>
      <c r="C65" s="157" t="s">
        <v>31</v>
      </c>
      <c r="D65" s="158">
        <f>SUM(F65:Q65)</f>
        <v>78993096.596845999</v>
      </c>
      <c r="E65" s="158">
        <f>D65/12</f>
        <v>6582758.0497371666</v>
      </c>
      <c r="F65" s="159">
        <f>F59*F63*F64*1000000/'Economic Assumptions'!$C$13</f>
        <v>7915348.4334560428</v>
      </c>
      <c r="G65" s="159">
        <f>G59*G63*G64*1000000/'Economic Assumptions'!$C$13</f>
        <v>7573507.8045879072</v>
      </c>
      <c r="H65" s="159">
        <f>H59*H63*H64*1000000/'Economic Assumptions'!$C$13</f>
        <v>10111273.650875306</v>
      </c>
      <c r="I65" s="159">
        <f>I59*I63*I64*1000000/'Economic Assumptions'!$C$13</f>
        <v>8891250.1808478143</v>
      </c>
      <c r="J65" s="159">
        <f>J59*J63*J64*1000000/'Economic Assumptions'!$C$13</f>
        <v>12955069.365183983</v>
      </c>
      <c r="K65" s="159">
        <f>K59*K63*K64*1000000/'Economic Assumptions'!$C$13</f>
        <v>6469635.2500522444</v>
      </c>
      <c r="L65" s="159">
        <f>L59*L63*L64*1000000/'Economic Assumptions'!$C$13</f>
        <v>4188162.1039432865</v>
      </c>
      <c r="M65" s="159">
        <f>M59*M63*M64*1000000/'Economic Assumptions'!$C$13</f>
        <v>9789444.9177745264</v>
      </c>
      <c r="N65" s="159">
        <f>N59*N63*N64*1000000/'Economic Assumptions'!$C$13</f>
        <v>6215683.1224781787</v>
      </c>
      <c r="O65" s="159">
        <f>O59*O63*O64*1000000/'Economic Assumptions'!$C$13</f>
        <v>2423545.9031941742</v>
      </c>
      <c r="P65" s="159">
        <f>P59*P63*P64*1000000/'Economic Assumptions'!$C$13</f>
        <v>1402880.7047438389</v>
      </c>
      <c r="Q65" s="159">
        <f>Q59*Q63*Q64*1000000/'Economic Assumptions'!$C$13</f>
        <v>1057295.1597087143</v>
      </c>
    </row>
    <row r="66" spans="1:17" x14ac:dyDescent="0.25">
      <c r="A66" s="2"/>
      <c r="B66" s="2"/>
      <c r="C66" s="2"/>
      <c r="D66" s="19"/>
      <c r="E66" s="1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5">
      <c r="A67" s="2" t="s">
        <v>395</v>
      </c>
      <c r="B67" s="56" t="s">
        <v>32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25">
      <c r="A68" s="2"/>
      <c r="B68" s="122" t="s">
        <v>33</v>
      </c>
      <c r="C68" s="152" t="s">
        <v>162</v>
      </c>
      <c r="D68" s="19"/>
      <c r="E68" s="166">
        <f>IFERROR(AVERAGE(F68:Q68),0)</f>
        <v>3578.125</v>
      </c>
      <c r="F68" s="167">
        <f>C15</f>
        <v>5287.5</v>
      </c>
      <c r="G68" s="167">
        <f>C16</f>
        <v>4837.5</v>
      </c>
      <c r="H68" s="167">
        <f>C17</f>
        <v>4462.5</v>
      </c>
      <c r="I68" s="167">
        <f t="shared" ref="I68:Q68" si="2">$C$18</f>
        <v>3150</v>
      </c>
      <c r="J68" s="167">
        <f t="shared" si="2"/>
        <v>3150</v>
      </c>
      <c r="K68" s="167">
        <f t="shared" si="2"/>
        <v>3150</v>
      </c>
      <c r="L68" s="167">
        <f t="shared" si="2"/>
        <v>3150</v>
      </c>
      <c r="M68" s="167">
        <f t="shared" si="2"/>
        <v>3150</v>
      </c>
      <c r="N68" s="167">
        <f t="shared" si="2"/>
        <v>3150</v>
      </c>
      <c r="O68" s="167">
        <f t="shared" si="2"/>
        <v>3150</v>
      </c>
      <c r="P68" s="167">
        <f t="shared" si="2"/>
        <v>3150</v>
      </c>
      <c r="Q68" s="167">
        <f t="shared" si="2"/>
        <v>3150</v>
      </c>
    </row>
    <row r="69" spans="1:17" x14ac:dyDescent="0.25">
      <c r="A69" s="2"/>
      <c r="B69" s="133" t="s">
        <v>163</v>
      </c>
      <c r="C69" s="168" t="s">
        <v>162</v>
      </c>
      <c r="D69" s="19"/>
      <c r="E69" s="169">
        <f>IFERROR(AVERAGE(F69:Q69),0)</f>
        <v>48.166666666666664</v>
      </c>
      <c r="F69" s="170">
        <f>C19</f>
        <v>80</v>
      </c>
      <c r="G69" s="170">
        <f>C20</f>
        <v>65</v>
      </c>
      <c r="H69" s="170">
        <f>C21</f>
        <v>55</v>
      </c>
      <c r="I69" s="170">
        <f t="shared" ref="I69:Q69" si="3">$C$22</f>
        <v>42</v>
      </c>
      <c r="J69" s="170">
        <f t="shared" si="3"/>
        <v>42</v>
      </c>
      <c r="K69" s="170">
        <f t="shared" si="3"/>
        <v>42</v>
      </c>
      <c r="L69" s="170">
        <f t="shared" si="3"/>
        <v>42</v>
      </c>
      <c r="M69" s="170">
        <f t="shared" si="3"/>
        <v>42</v>
      </c>
      <c r="N69" s="170">
        <f t="shared" si="3"/>
        <v>42</v>
      </c>
      <c r="O69" s="170">
        <f t="shared" si="3"/>
        <v>42</v>
      </c>
      <c r="P69" s="170">
        <f t="shared" si="3"/>
        <v>42</v>
      </c>
      <c r="Q69" s="170">
        <f t="shared" si="3"/>
        <v>42</v>
      </c>
    </row>
    <row r="70" spans="1:17" x14ac:dyDescent="0.25">
      <c r="A70" s="2"/>
      <c r="B70" s="156" t="s">
        <v>34</v>
      </c>
      <c r="C70" s="157" t="s">
        <v>525</v>
      </c>
      <c r="D70" s="171">
        <f>SUM(F70:Q70)</f>
        <v>10294.200853601684</v>
      </c>
      <c r="E70" s="171">
        <f>D70/12</f>
        <v>857.85007113347365</v>
      </c>
      <c r="F70" s="172">
        <f>F62*F68/1000000</f>
        <v>2088.242480749755</v>
      </c>
      <c r="G70" s="172">
        <f t="shared" ref="G70:Q70" si="4">G62*G68/1000000</f>
        <v>1321.0985660777721</v>
      </c>
      <c r="H70" s="172">
        <f t="shared" si="4"/>
        <v>1393.262414197759</v>
      </c>
      <c r="I70" s="172">
        <f t="shared" si="4"/>
        <v>907.82709341392444</v>
      </c>
      <c r="J70" s="172">
        <f t="shared" si="4"/>
        <v>983.47935119841804</v>
      </c>
      <c r="K70" s="172">
        <f t="shared" si="4"/>
        <v>973.64455768643381</v>
      </c>
      <c r="L70" s="172">
        <f t="shared" si="4"/>
        <v>558.98612696320345</v>
      </c>
      <c r="M70" s="172">
        <f t="shared" si="4"/>
        <v>764.92838426543631</v>
      </c>
      <c r="N70" s="172">
        <f t="shared" si="4"/>
        <v>500.14548201970831</v>
      </c>
      <c r="O70" s="172">
        <f t="shared" si="4"/>
        <v>354.05256643143048</v>
      </c>
      <c r="P70" s="172">
        <f t="shared" si="4"/>
        <v>235.36257977398043</v>
      </c>
      <c r="Q70" s="172">
        <f t="shared" si="4"/>
        <v>213.17125082386227</v>
      </c>
    </row>
    <row r="71" spans="1:17" x14ac:dyDescent="0.25">
      <c r="A71" s="2"/>
      <c r="B71" s="122" t="s">
        <v>36</v>
      </c>
      <c r="C71" s="152" t="s">
        <v>525</v>
      </c>
      <c r="D71" s="173">
        <f>SUM(F71:Q71)</f>
        <v>205.88401707203369</v>
      </c>
      <c r="E71" s="173">
        <f>D71/12</f>
        <v>17.157001422669474</v>
      </c>
      <c r="F71" s="174">
        <f t="shared" ref="F71:Q71" si="5">F70*$C$26</f>
        <v>41.7648496149951</v>
      </c>
      <c r="G71" s="174">
        <f t="shared" si="5"/>
        <v>26.421971321555443</v>
      </c>
      <c r="H71" s="174">
        <f t="shared" si="5"/>
        <v>27.865248283955179</v>
      </c>
      <c r="I71" s="174">
        <f t="shared" si="5"/>
        <v>18.156541868278488</v>
      </c>
      <c r="J71" s="174">
        <f t="shared" si="5"/>
        <v>19.669587023968361</v>
      </c>
      <c r="K71" s="174">
        <f t="shared" si="5"/>
        <v>19.472891153728678</v>
      </c>
      <c r="L71" s="174">
        <f t="shared" si="5"/>
        <v>11.17972253926407</v>
      </c>
      <c r="M71" s="174">
        <f t="shared" si="5"/>
        <v>15.298567685308726</v>
      </c>
      <c r="N71" s="174">
        <f t="shared" si="5"/>
        <v>10.002909640394167</v>
      </c>
      <c r="O71" s="174">
        <f t="shared" si="5"/>
        <v>7.0810513286286101</v>
      </c>
      <c r="P71" s="174">
        <f t="shared" si="5"/>
        <v>4.707251595479609</v>
      </c>
      <c r="Q71" s="174">
        <f t="shared" si="5"/>
        <v>4.2634250164772451</v>
      </c>
    </row>
    <row r="72" spans="1:17" x14ac:dyDescent="0.25">
      <c r="A72" s="2"/>
      <c r="B72" s="520" t="s">
        <v>623</v>
      </c>
      <c r="C72" s="523" t="s">
        <v>525</v>
      </c>
      <c r="D72" s="524">
        <f>SUM(F72:Q72)</f>
        <v>0</v>
      </c>
      <c r="E72" s="524">
        <f>D72/12</f>
        <v>0</v>
      </c>
      <c r="F72" s="191">
        <f t="shared" ref="F72:Q72" si="6">IF($C$42="None",0,IF($C$42="Buyback",$C$43*(1-0.6667),$C$43))*F62*F68/1000000</f>
        <v>0</v>
      </c>
      <c r="G72" s="191">
        <f t="shared" si="6"/>
        <v>0</v>
      </c>
      <c r="H72" s="191">
        <f t="shared" si="6"/>
        <v>0</v>
      </c>
      <c r="I72" s="191">
        <f t="shared" si="6"/>
        <v>0</v>
      </c>
      <c r="J72" s="191">
        <f t="shared" si="6"/>
        <v>0</v>
      </c>
      <c r="K72" s="191">
        <f t="shared" si="6"/>
        <v>0</v>
      </c>
      <c r="L72" s="191">
        <f t="shared" si="6"/>
        <v>0</v>
      </c>
      <c r="M72" s="191">
        <f t="shared" si="6"/>
        <v>0</v>
      </c>
      <c r="N72" s="191">
        <f t="shared" si="6"/>
        <v>0</v>
      </c>
      <c r="O72" s="191">
        <f t="shared" si="6"/>
        <v>0</v>
      </c>
      <c r="P72" s="191">
        <f t="shared" si="6"/>
        <v>0</v>
      </c>
      <c r="Q72" s="191">
        <f t="shared" si="6"/>
        <v>0</v>
      </c>
    </row>
    <row r="73" spans="1:17" x14ac:dyDescent="0.25">
      <c r="A73" s="2"/>
      <c r="B73" s="520" t="s">
        <v>624</v>
      </c>
      <c r="C73" s="523" t="s">
        <v>525</v>
      </c>
      <c r="D73" s="524">
        <f>SUM(F73:Q73)</f>
        <v>0</v>
      </c>
      <c r="E73" s="524">
        <f>D73/12</f>
        <v>0</v>
      </c>
      <c r="F73" s="191">
        <f t="shared" ref="F73:Q73" si="7">-IF($C$42="None",0,IF($C$42="Buyback",$C$43*(1-0.6667),$C$43))*F62*F68*$C$44/1000000</f>
        <v>0</v>
      </c>
      <c r="G73" s="191">
        <f t="shared" si="7"/>
        <v>0</v>
      </c>
      <c r="H73" s="191">
        <f t="shared" si="7"/>
        <v>0</v>
      </c>
      <c r="I73" s="191">
        <f t="shared" si="7"/>
        <v>0</v>
      </c>
      <c r="J73" s="191">
        <f t="shared" si="7"/>
        <v>0</v>
      </c>
      <c r="K73" s="191">
        <f t="shared" si="7"/>
        <v>0</v>
      </c>
      <c r="L73" s="191">
        <f t="shared" si="7"/>
        <v>0</v>
      </c>
      <c r="M73" s="191">
        <f t="shared" si="7"/>
        <v>0</v>
      </c>
      <c r="N73" s="191">
        <f t="shared" si="7"/>
        <v>0</v>
      </c>
      <c r="O73" s="191">
        <f t="shared" si="7"/>
        <v>0</v>
      </c>
      <c r="P73" s="191">
        <f t="shared" si="7"/>
        <v>0</v>
      </c>
      <c r="Q73" s="191">
        <f t="shared" si="7"/>
        <v>0</v>
      </c>
    </row>
    <row r="74" spans="1:17" x14ac:dyDescent="0.25">
      <c r="A74" s="2"/>
      <c r="B74" s="160" t="s">
        <v>65</v>
      </c>
      <c r="C74" s="152" t="s">
        <v>525</v>
      </c>
      <c r="D74" s="175">
        <f>SUM(F74:Q74)</f>
        <v>10088.316836529648</v>
      </c>
      <c r="E74" s="175">
        <f>D74/12</f>
        <v>840.69306971080402</v>
      </c>
      <c r="F74" s="123">
        <f>F70-F71-F72-F73</f>
        <v>2046.47763113476</v>
      </c>
      <c r="G74" s="123">
        <f t="shared" ref="G74:Q74" si="8">G70-G71-G72-G73</f>
        <v>1294.6765947562167</v>
      </c>
      <c r="H74" s="123">
        <f t="shared" si="8"/>
        <v>1365.3971659138037</v>
      </c>
      <c r="I74" s="123">
        <f t="shared" si="8"/>
        <v>889.67055154564594</v>
      </c>
      <c r="J74" s="123">
        <f t="shared" si="8"/>
        <v>963.8097641744497</v>
      </c>
      <c r="K74" s="123">
        <f t="shared" si="8"/>
        <v>954.1716665327051</v>
      </c>
      <c r="L74" s="123">
        <f t="shared" si="8"/>
        <v>547.8064044239394</v>
      </c>
      <c r="M74" s="123">
        <f t="shared" si="8"/>
        <v>749.62981658012757</v>
      </c>
      <c r="N74" s="123">
        <f t="shared" si="8"/>
        <v>490.14257237931412</v>
      </c>
      <c r="O74" s="123">
        <f t="shared" si="8"/>
        <v>346.97151510280185</v>
      </c>
      <c r="P74" s="123">
        <f t="shared" si="8"/>
        <v>230.65532817850081</v>
      </c>
      <c r="Q74" s="123">
        <f t="shared" si="8"/>
        <v>208.90782580738502</v>
      </c>
    </row>
    <row r="75" spans="1:17" x14ac:dyDescent="0.25">
      <c r="A75" s="2" t="s">
        <v>395</v>
      </c>
      <c r="B75" s="56" t="s">
        <v>37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25">
      <c r="A76" s="2"/>
      <c r="B76" s="122" t="s">
        <v>38</v>
      </c>
      <c r="C76" s="152" t="s">
        <v>162</v>
      </c>
      <c r="D76" s="19"/>
      <c r="E76" s="166">
        <f>IFERROR(AVERAGE(F76:Q76),0)</f>
        <v>300.8176221301033</v>
      </c>
      <c r="F76" s="176">
        <f>IFERROR(IF(F56&lt;=2031,'Operating Costs'!$C$6,'Operating Costs'!$E$6)*F57*1000000/F62/$C$24,0)</f>
        <v>248.36846363556415</v>
      </c>
      <c r="G76" s="176">
        <f>IFERROR(IF(G56&lt;=2031,'Operating Costs'!$C$6,'Operating Costs'!$E$6)*G57*1000000/G62/$C$24,0)</f>
        <v>365.2477406405356</v>
      </c>
      <c r="H76" s="176">
        <f>IFERROR(IF(H56&lt;=2031,'Operating Costs'!$C$6,'Operating Costs'!$E$6)*H57*1000000/H62/$C$24,0)</f>
        <v>318.42110722508227</v>
      </c>
      <c r="I76" s="176">
        <f>IFERROR(IF(I56&lt;=2031,'Operating Costs'!$C$6,'Operating Costs'!$E$6)*I57*1000000/I62/$C$24,0)</f>
        <v>344.95619949383905</v>
      </c>
      <c r="J76" s="176">
        <f>IFERROR(IF(J56&lt;=2031,'Operating Costs'!$C$6,'Operating Costs'!$E$6)*J57*1000000/J62/$C$24,0)</f>
        <v>318.42110722508227</v>
      </c>
      <c r="K76" s="176">
        <f>IFERROR(IF(K56&lt;=2031,'Operating Costs'!$C$6,'Operating Costs'!$E$6)*K57*1000000/K62/$C$24,0)</f>
        <v>118.86276093091678</v>
      </c>
      <c r="L76" s="176">
        <f>IFERROR(IF(L56&lt;=2031,'Operating Costs'!$C$6,'Operating Costs'!$E$6)*L57*1000000/L62/$C$24,0)</f>
        <v>206.44584793264494</v>
      </c>
      <c r="M76" s="176">
        <f>IFERROR(IF(M56&lt;=2031,'Operating Costs'!$C$6,'Operating Costs'!$E$6)*M57*1000000/M62/$C$24,0)</f>
        <v>150.8642734892405</v>
      </c>
      <c r="N76" s="176">
        <f>IFERROR(IF(N56&lt;=2031,'Operating Costs'!$C$6,'Operating Costs'!$E$6)*N57*1000000/N62/$C$24,0)</f>
        <v>230.7335947482502</v>
      </c>
      <c r="O76" s="176">
        <f>IFERROR(IF(O56&lt;=2031,'Operating Costs'!$C$6,'Operating Costs'!$E$6)*O57*1000000/O62/$C$24,0)</f>
        <v>326.87259256002113</v>
      </c>
      <c r="P76" s="176">
        <f>IFERROR(IF(P56&lt;=2031,'Operating Costs'!$C$6,'Operating Costs'!$E$6)*P57*1000000/P62/$C$24,0)</f>
        <v>490.30888884003156</v>
      </c>
      <c r="Q76" s="176">
        <f>IFERROR(IF(Q56&lt;=2031,'Operating Costs'!$C$6,'Operating Costs'!$E$6)*Q57*1000000/Q62/$C$24,0)</f>
        <v>490.30888884003161</v>
      </c>
    </row>
    <row r="77" spans="1:17" x14ac:dyDescent="0.25">
      <c r="A77" s="2"/>
      <c r="B77" s="122" t="s">
        <v>39</v>
      </c>
      <c r="C77" s="152" t="s">
        <v>162</v>
      </c>
      <c r="D77" s="19"/>
      <c r="E77" s="166">
        <f>IFERROR(AVERAGE(F77:Q77),0)</f>
        <v>276.39133801651434</v>
      </c>
      <c r="F77" s="176">
        <f>IFERROR(IF(F56&lt;=2031,'Operating Costs'!$C$7,'Operating Costs'!$E$7)*F57*1000000/F62/$C$24,0)</f>
        <v>109.5775402339284</v>
      </c>
      <c r="G77" s="176">
        <f>IFERROR(IF(G56&lt;=2031,'Operating Costs'!$C$7,'Operating Costs'!$E$7)*G57*1000000/G62/$C$24,0)</f>
        <v>161.14344152048298</v>
      </c>
      <c r="H77" s="176">
        <f>IFERROR(IF(H56&lt;=2031,'Operating Costs'!$C$7,'Operating Costs'!$E$7)*H57*1000000/H62/$C$24,0)</f>
        <v>140.48402594093386</v>
      </c>
      <c r="I77" s="176">
        <f>IFERROR(IF(I56&lt;=2031,'Operating Costs'!$C$7,'Operating Costs'!$E$7)*I57*1000000/I62/$C$24,0)</f>
        <v>152.19102810267833</v>
      </c>
      <c r="J77" s="176">
        <f>IFERROR(IF(J56&lt;=2031,'Operating Costs'!$C$7,'Operating Costs'!$E$7)*J57*1000000/J62/$C$24,0)</f>
        <v>140.48402594093386</v>
      </c>
      <c r="K77" s="176">
        <f>IFERROR(IF(K56&lt;=2031,'Operating Costs'!$C$7,'Operating Costs'!$E$7)*K57*1000000/K62/$C$24,0)</f>
        <v>154.17345560077072</v>
      </c>
      <c r="L77" s="176">
        <f>IFERROR(IF(L56&lt;=2031,'Operating Costs'!$C$7,'Operating Costs'!$E$7)*L57*1000000/L62/$C$24,0)</f>
        <v>267.77494920133864</v>
      </c>
      <c r="M77" s="176">
        <f>IFERROR(IF(M56&lt;=2031,'Operating Costs'!$C$7,'Operating Costs'!$E$7)*M57*1000000/M62/$C$24,0)</f>
        <v>195.68169364713208</v>
      </c>
      <c r="N77" s="176">
        <f>IFERROR(IF(N56&lt;=2031,'Operating Costs'!$C$7,'Operating Costs'!$E$7)*N57*1000000/N62/$C$24,0)</f>
        <v>299.27788440149612</v>
      </c>
      <c r="O77" s="176">
        <f>IFERROR(IF(O56&lt;=2031,'Operating Costs'!$C$7,'Operating Costs'!$E$7)*O57*1000000/O62/$C$24,0)</f>
        <v>423.97700290211947</v>
      </c>
      <c r="P77" s="176">
        <f>IFERROR(IF(P56&lt;=2031,'Operating Costs'!$C$7,'Operating Costs'!$E$7)*P57*1000000/P62/$C$24,0)</f>
        <v>635.96550435317909</v>
      </c>
      <c r="Q77" s="176">
        <f>IFERROR(IF(Q56&lt;=2031,'Operating Costs'!$C$7,'Operating Costs'!$E$7)*Q57*1000000/Q62/$C$24,0)</f>
        <v>635.96550435317909</v>
      </c>
    </row>
    <row r="78" spans="1:17" x14ac:dyDescent="0.25">
      <c r="A78" s="2"/>
      <c r="B78" s="122" t="s">
        <v>274</v>
      </c>
      <c r="C78" s="152" t="s">
        <v>162</v>
      </c>
      <c r="D78" s="19"/>
      <c r="E78" s="166">
        <f>IFERROR(AVERAGE(F78:Q78),0)</f>
        <v>113.30462861690359</v>
      </c>
      <c r="F78" s="176">
        <f>IFERROR(IF(F56&lt;=2031,'Operating Costs'!$C$8,'Operating Costs'!$E$8)*F57*1000000/F62/$C$24,0)</f>
        <v>52.463734939759028</v>
      </c>
      <c r="G78" s="176">
        <f>IFERROR(IF(G56&lt;=2031,'Operating Costs'!$C$8,'Operating Costs'!$E$8)*G57*1000000/G62/$C$24,0)</f>
        <v>77.152551381998592</v>
      </c>
      <c r="H78" s="176">
        <f>IFERROR(IF(H56&lt;=2031,'Operating Costs'!$C$8,'Operating Costs'!$E$8)*H57*1000000/H62/$C$24,0)</f>
        <v>67.261198640716714</v>
      </c>
      <c r="I78" s="176">
        <f>IFERROR(IF(I56&lt;=2031,'Operating Costs'!$C$8,'Operating Costs'!$E$8)*I57*1000000/I62/$C$24,0)</f>
        <v>72.866298527443092</v>
      </c>
      <c r="J78" s="176">
        <f>IFERROR(IF(J56&lt;=2031,'Operating Costs'!$C$8,'Operating Costs'!$E$8)*J57*1000000/J62/$C$24,0)</f>
        <v>67.261198640716714</v>
      </c>
      <c r="K78" s="176">
        <f>IFERROR(IF(K56&lt;=2031,'Operating Costs'!$C$8,'Operating Costs'!$E$8)*K57*1000000/K62/$C$24,0)</f>
        <v>60.343158966323152</v>
      </c>
      <c r="L78" s="176">
        <f>IFERROR(IF(L56&lt;=2031,'Operating Costs'!$C$8,'Operating Costs'!$E$8)*L57*1000000/L62/$C$24,0)</f>
        <v>104.80653925729811</v>
      </c>
      <c r="M78" s="176">
        <f>IFERROR(IF(M56&lt;=2031,'Operating Costs'!$C$8,'Operating Costs'!$E$8)*M57*1000000/M62/$C$24,0)</f>
        <v>76.589394072640928</v>
      </c>
      <c r="N78" s="176">
        <f>IFERROR(IF(N56&lt;=2031,'Operating Costs'!$C$8,'Operating Costs'!$E$8)*N57*1000000/N62/$C$24,0)</f>
        <v>117.13672034639201</v>
      </c>
      <c r="O78" s="176">
        <f>IFERROR(IF(O56&lt;=2031,'Operating Costs'!$C$8,'Operating Costs'!$E$8)*O57*1000000/O62/$C$24,0)</f>
        <v>165.94368715738867</v>
      </c>
      <c r="P78" s="176">
        <f>IFERROR(IF(P56&lt;=2031,'Operating Costs'!$C$8,'Operating Costs'!$E$8)*P57*1000000/P62/$C$24,0)</f>
        <v>248.91553073608299</v>
      </c>
      <c r="Q78" s="176">
        <f>IFERROR(IF(Q56&lt;=2031,'Operating Costs'!$C$8,'Operating Costs'!$E$8)*Q57*1000000/Q62/$C$24,0)</f>
        <v>248.91553073608301</v>
      </c>
    </row>
    <row r="79" spans="1:17" x14ac:dyDescent="0.25">
      <c r="A79" s="2"/>
      <c r="B79" s="128" t="s">
        <v>119</v>
      </c>
      <c r="C79" s="152" t="s">
        <v>526</v>
      </c>
      <c r="D79" s="19"/>
      <c r="E79" s="177">
        <f>IFERROR(AVERAGE(F79:Q79),0)</f>
        <v>-1315.3093424311753</v>
      </c>
      <c r="F79" s="178">
        <f t="shared" ref="F79:Q79" si="9">IFERROR(-F65*F69/F62,0)</f>
        <v>-1603.3542168674701</v>
      </c>
      <c r="G79" s="178">
        <f t="shared" si="9"/>
        <v>-1802.5868178596743</v>
      </c>
      <c r="H79" s="178">
        <f t="shared" si="9"/>
        <v>-1781.2048192771092</v>
      </c>
      <c r="I79" s="178">
        <f t="shared" si="9"/>
        <v>-1295.7449799196786</v>
      </c>
      <c r="J79" s="178">
        <f t="shared" si="9"/>
        <v>-1742.7469879518076</v>
      </c>
      <c r="K79" s="178">
        <f t="shared" si="9"/>
        <v>-879.10186199342843</v>
      </c>
      <c r="L79" s="178">
        <f t="shared" si="9"/>
        <v>-991.247939124921</v>
      </c>
      <c r="M79" s="178">
        <f t="shared" si="9"/>
        <v>-1693.1566265060242</v>
      </c>
      <c r="N79" s="178">
        <f t="shared" si="9"/>
        <v>-1644.1913536498939</v>
      </c>
      <c r="O79" s="178">
        <f t="shared" si="9"/>
        <v>-905.61445783132547</v>
      </c>
      <c r="P79" s="178">
        <f t="shared" si="9"/>
        <v>-788.57530120481908</v>
      </c>
      <c r="Q79" s="178">
        <f t="shared" si="9"/>
        <v>-656.18674698795178</v>
      </c>
    </row>
    <row r="80" spans="1:17" x14ac:dyDescent="0.25">
      <c r="A80" s="2"/>
      <c r="B80" s="160" t="s">
        <v>40</v>
      </c>
      <c r="C80" s="152" t="s">
        <v>162</v>
      </c>
      <c r="D80" s="19"/>
      <c r="E80" s="179">
        <f>IFERROR(AVERAGE(F80:Q80),0)</f>
        <v>-624.79575366765403</v>
      </c>
      <c r="F80" s="180">
        <f>SUM(F76:F79)</f>
        <v>-1192.9444780582185</v>
      </c>
      <c r="G80" s="180">
        <f t="shared" ref="G80:Q80" si="10">SUM(G76:G79)</f>
        <v>-1199.0430843166571</v>
      </c>
      <c r="H80" s="180">
        <f t="shared" si="10"/>
        <v>-1255.0384874703764</v>
      </c>
      <c r="I80" s="180">
        <f t="shared" si="10"/>
        <v>-725.73145379571815</v>
      </c>
      <c r="J80" s="180">
        <f t="shared" si="10"/>
        <v>-1216.5806561450747</v>
      </c>
      <c r="K80" s="180">
        <f t="shared" si="10"/>
        <v>-545.7224864954178</v>
      </c>
      <c r="L80" s="180">
        <f t="shared" si="10"/>
        <v>-412.22060273363934</v>
      </c>
      <c r="M80" s="180">
        <f t="shared" si="10"/>
        <v>-1270.0212652970106</v>
      </c>
      <c r="N80" s="180">
        <f t="shared" si="10"/>
        <v>-997.04315415375561</v>
      </c>
      <c r="O80" s="180">
        <f t="shared" si="10"/>
        <v>11.178824788203769</v>
      </c>
      <c r="P80" s="180">
        <f t="shared" si="10"/>
        <v>586.61462272447454</v>
      </c>
      <c r="Q80" s="180">
        <f t="shared" si="10"/>
        <v>719.00317694134185</v>
      </c>
    </row>
    <row r="81" spans="1:17" x14ac:dyDescent="0.25">
      <c r="A81" s="2"/>
      <c r="B81" s="181" t="s">
        <v>41</v>
      </c>
      <c r="C81" s="182" t="s">
        <v>525</v>
      </c>
      <c r="D81" s="183">
        <f>SUM(F81:Q81)</f>
        <v>-2394.2245491043036</v>
      </c>
      <c r="E81" s="183">
        <f>D81/12</f>
        <v>-199.51871242535864</v>
      </c>
      <c r="F81" s="184">
        <f t="shared" ref="F81:Q81" si="11">F80*F62/1000000</f>
        <v>-471.14086737721334</v>
      </c>
      <c r="G81" s="184">
        <f t="shared" si="11"/>
        <v>-327.45304379456428</v>
      </c>
      <c r="H81" s="184">
        <f t="shared" si="11"/>
        <v>-391.84267853536812</v>
      </c>
      <c r="I81" s="184">
        <f t="shared" si="11"/>
        <v>-209.15513533283448</v>
      </c>
      <c r="J81" s="184">
        <f t="shared" si="11"/>
        <v>-379.8355410749536</v>
      </c>
      <c r="K81" s="184">
        <f t="shared" si="11"/>
        <v>-168.67927904234028</v>
      </c>
      <c r="L81" s="184">
        <f t="shared" si="11"/>
        <v>-73.150983548099788</v>
      </c>
      <c r="M81" s="184">
        <f t="shared" si="11"/>
        <v>-308.40486172901183</v>
      </c>
      <c r="N81" s="184">
        <f t="shared" si="11"/>
        <v>-158.30686632656523</v>
      </c>
      <c r="O81" s="184">
        <f t="shared" si="11"/>
        <v>1.2564735256986783</v>
      </c>
      <c r="P81" s="184">
        <f t="shared" si="11"/>
        <v>43.830835218277009</v>
      </c>
      <c r="Q81" s="184">
        <f t="shared" si="11"/>
        <v>48.657398912671937</v>
      </c>
    </row>
    <row r="82" spans="1:17" x14ac:dyDescent="0.25">
      <c r="A82" s="2"/>
      <c r="B82" s="122" t="s">
        <v>42</v>
      </c>
      <c r="C82" s="152" t="s">
        <v>29</v>
      </c>
      <c r="D82" s="19"/>
      <c r="E82" s="155">
        <f>IFERROR(AVERAGE(F82:Q82),0)</f>
        <v>1.164759129180903</v>
      </c>
      <c r="F82" s="185">
        <f>IF(F70=0,0,1-F81/F70)</f>
        <v>1.2256159769377244</v>
      </c>
      <c r="G82" s="185">
        <f t="shared" ref="G82:Q82" si="12">IF(G70=0,0,1-G81/G70)</f>
        <v>1.2478642034763114</v>
      </c>
      <c r="H82" s="185">
        <f t="shared" si="12"/>
        <v>1.2812411176404204</v>
      </c>
      <c r="I82" s="185">
        <f t="shared" si="12"/>
        <v>1.2303909377129263</v>
      </c>
      <c r="J82" s="185">
        <f t="shared" si="12"/>
        <v>1.3862160813158968</v>
      </c>
      <c r="K82" s="185">
        <f t="shared" si="12"/>
        <v>1.1732452338080692</v>
      </c>
      <c r="L82" s="185">
        <f t="shared" si="12"/>
        <v>1.1308636834075045</v>
      </c>
      <c r="M82" s="185">
        <f t="shared" si="12"/>
        <v>1.4031813540625431</v>
      </c>
      <c r="N82" s="185">
        <f t="shared" si="12"/>
        <v>1.3165216362392875</v>
      </c>
      <c r="O82" s="185">
        <f t="shared" si="12"/>
        <v>0.99645116673390355</v>
      </c>
      <c r="P82" s="185">
        <f t="shared" si="12"/>
        <v>0.813773135643024</v>
      </c>
      <c r="Q82" s="185">
        <f t="shared" si="12"/>
        <v>0.7717450231932248</v>
      </c>
    </row>
    <row r="83" spans="1:17" x14ac:dyDescent="0.25">
      <c r="A83" s="2"/>
      <c r="B83" s="2"/>
      <c r="C83" s="2"/>
      <c r="D83" s="19"/>
      <c r="E83" s="1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5">
      <c r="A84" s="2" t="s">
        <v>395</v>
      </c>
      <c r="B84" s="56" t="s">
        <v>43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x14ac:dyDescent="0.25">
      <c r="A85" s="2"/>
      <c r="B85" s="122" t="s">
        <v>44</v>
      </c>
      <c r="C85" s="152" t="s">
        <v>525</v>
      </c>
      <c r="D85" s="173">
        <f>SUM(F85:Q85)</f>
        <v>409.70802919708018</v>
      </c>
      <c r="E85" s="173">
        <f>D85/12</f>
        <v>34.142335766423351</v>
      </c>
      <c r="F85" s="141">
        <f>'Capital Costs'!C16/12/$C$24</f>
        <v>34.142335766423351</v>
      </c>
      <c r="G85" s="141">
        <f>'Capital Costs'!C16/12/$C$24</f>
        <v>34.142335766423351</v>
      </c>
      <c r="H85" s="141">
        <f>'Capital Costs'!C16/12/$C$24</f>
        <v>34.142335766423351</v>
      </c>
      <c r="I85" s="141">
        <f>'Capital Costs'!C16/12/$C$24</f>
        <v>34.142335766423351</v>
      </c>
      <c r="J85" s="141">
        <f>'Capital Costs'!C16/12/$C$24</f>
        <v>34.142335766423351</v>
      </c>
      <c r="K85" s="141">
        <f>'Capital Costs'!C16/12/$C$24</f>
        <v>34.142335766423351</v>
      </c>
      <c r="L85" s="141">
        <f>'Capital Costs'!C16/12/$C$24</f>
        <v>34.142335766423351</v>
      </c>
      <c r="M85" s="141">
        <f>'Capital Costs'!C16/12/$C$24</f>
        <v>34.142335766423351</v>
      </c>
      <c r="N85" s="141">
        <f>'Capital Costs'!C16/12/$C$24</f>
        <v>34.142335766423351</v>
      </c>
      <c r="O85" s="141">
        <f>'Capital Costs'!C16/12/$C$24</f>
        <v>34.142335766423351</v>
      </c>
      <c r="P85" s="141">
        <f>'Capital Costs'!C16/12/$C$24</f>
        <v>34.142335766423351</v>
      </c>
      <c r="Q85" s="141">
        <f>'Capital Costs'!C16/12/$C$24</f>
        <v>34.142335766423351</v>
      </c>
    </row>
    <row r="86" spans="1:17" x14ac:dyDescent="0.25">
      <c r="A86" s="2"/>
      <c r="B86" s="122" t="s">
        <v>45</v>
      </c>
      <c r="C86" s="152" t="s">
        <v>525</v>
      </c>
      <c r="D86" s="173">
        <f>SUM(F86:Q86)</f>
        <v>6.3503649635036483</v>
      </c>
      <c r="E86" s="173">
        <f>D86/12</f>
        <v>0.52919708029197066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f>'Capital Costs'!D16/$C$24</f>
        <v>6.3503649635036483</v>
      </c>
      <c r="L86" s="141">
        <v>0</v>
      </c>
      <c r="M86" s="141">
        <v>0</v>
      </c>
      <c r="N86" s="141">
        <v>0</v>
      </c>
      <c r="O86" s="141">
        <v>0</v>
      </c>
      <c r="P86" s="141">
        <v>0</v>
      </c>
      <c r="Q86" s="141">
        <v>0</v>
      </c>
    </row>
    <row r="87" spans="1:17" x14ac:dyDescent="0.25">
      <c r="A87" s="2"/>
      <c r="B87" s="122" t="s">
        <v>46</v>
      </c>
      <c r="C87" s="152" t="s">
        <v>525</v>
      </c>
      <c r="D87" s="173">
        <f>SUM(F87:Q87)</f>
        <v>127.5912408759124</v>
      </c>
      <c r="E87" s="173">
        <f>D87/12</f>
        <v>10.632603406326034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141">
        <v>0</v>
      </c>
      <c r="Q87" s="141">
        <f>'Capital Costs'!E16/$C$24</f>
        <v>127.5912408759124</v>
      </c>
    </row>
    <row r="88" spans="1:17" x14ac:dyDescent="0.25">
      <c r="A88" s="2"/>
      <c r="B88" s="156" t="s">
        <v>47</v>
      </c>
      <c r="C88" s="157" t="s">
        <v>525</v>
      </c>
      <c r="D88" s="171">
        <f>SUM(F88:Q88)</f>
        <v>543.64963503649619</v>
      </c>
      <c r="E88" s="171">
        <f>D88/12</f>
        <v>45.304136253041349</v>
      </c>
      <c r="F88" s="172">
        <f>SUM(F85:F87)</f>
        <v>34.142335766423351</v>
      </c>
      <c r="G88" s="172">
        <f t="shared" ref="G88:Q88" si="13">SUM(G85:G87)</f>
        <v>34.142335766423351</v>
      </c>
      <c r="H88" s="172">
        <f t="shared" si="13"/>
        <v>34.142335766423351</v>
      </c>
      <c r="I88" s="172">
        <f t="shared" si="13"/>
        <v>34.142335766423351</v>
      </c>
      <c r="J88" s="172">
        <f t="shared" si="13"/>
        <v>34.142335766423351</v>
      </c>
      <c r="K88" s="172">
        <f t="shared" si="13"/>
        <v>40.492700729927002</v>
      </c>
      <c r="L88" s="172">
        <f t="shared" si="13"/>
        <v>34.142335766423351</v>
      </c>
      <c r="M88" s="172">
        <f t="shared" si="13"/>
        <v>34.142335766423351</v>
      </c>
      <c r="N88" s="172">
        <f t="shared" si="13"/>
        <v>34.142335766423351</v>
      </c>
      <c r="O88" s="172">
        <f t="shared" si="13"/>
        <v>34.142335766423351</v>
      </c>
      <c r="P88" s="172">
        <f t="shared" si="13"/>
        <v>34.142335766423351</v>
      </c>
      <c r="Q88" s="172">
        <f t="shared" si="13"/>
        <v>161.73357664233575</v>
      </c>
    </row>
    <row r="89" spans="1:17" x14ac:dyDescent="0.25">
      <c r="A89" s="2"/>
      <c r="B89" s="160" t="s">
        <v>66</v>
      </c>
      <c r="C89" s="152" t="s">
        <v>162</v>
      </c>
      <c r="D89" s="19"/>
      <c r="E89" s="179">
        <f>IFERROR((D81+D71+D85)*1000000/D62,0)</f>
        <v>-653.04115853332689</v>
      </c>
      <c r="F89" s="180">
        <f t="shared" ref="F89:Q89" si="14">IFERROR(F80+(F71+F85)*1000000/F62,0)</f>
        <v>-1000.7449387785906</v>
      </c>
      <c r="G89" s="180">
        <f t="shared" si="14"/>
        <v>-977.27323075612435</v>
      </c>
      <c r="H89" s="180">
        <f t="shared" si="14"/>
        <v>-1056.4335147064025</v>
      </c>
      <c r="I89" s="180">
        <f t="shared" si="14"/>
        <v>-544.26356663474667</v>
      </c>
      <c r="J89" s="180">
        <f t="shared" si="14"/>
        <v>-1044.2256833811009</v>
      </c>
      <c r="K89" s="180">
        <f t="shared" si="14"/>
        <v>-372.2629180469595</v>
      </c>
      <c r="L89" s="180">
        <f t="shared" si="14"/>
        <v>-156.82162809627201</v>
      </c>
      <c r="M89" s="180">
        <f t="shared" si="14"/>
        <v>-1066.4220146004729</v>
      </c>
      <c r="N89" s="180">
        <f t="shared" si="14"/>
        <v>-719.00900602963929</v>
      </c>
      <c r="O89" s="180">
        <f t="shared" si="14"/>
        <v>377.94263802146412</v>
      </c>
      <c r="P89" s="180">
        <f t="shared" si="14"/>
        <v>1106.5621874882218</v>
      </c>
      <c r="Q89" s="180">
        <f t="shared" si="14"/>
        <v>1286.5194156394855</v>
      </c>
    </row>
    <row r="90" spans="1:17" x14ac:dyDescent="0.25">
      <c r="A90" s="2"/>
      <c r="B90" s="186" t="s">
        <v>396</v>
      </c>
      <c r="C90" s="187" t="s">
        <v>162</v>
      </c>
      <c r="D90" s="188"/>
      <c r="E90" s="189">
        <f>IFERROR(AVERAGE(F90:Q90),0)</f>
        <v>968.10665410774709</v>
      </c>
      <c r="F90" s="190">
        <f t="shared" ref="F90:Q90" si="15">F89-F79</f>
        <v>602.60927808887948</v>
      </c>
      <c r="G90" s="190">
        <f t="shared" si="15"/>
        <v>825.31358710354993</v>
      </c>
      <c r="H90" s="190">
        <f t="shared" si="15"/>
        <v>724.77130457070666</v>
      </c>
      <c r="I90" s="190">
        <f t="shared" si="15"/>
        <v>751.48141328493193</v>
      </c>
      <c r="J90" s="190">
        <f t="shared" si="15"/>
        <v>698.52130457070666</v>
      </c>
      <c r="K90" s="190">
        <f t="shared" si="15"/>
        <v>506.83894394646893</v>
      </c>
      <c r="L90" s="190">
        <f t="shared" si="15"/>
        <v>834.42631102864902</v>
      </c>
      <c r="M90" s="190">
        <f t="shared" si="15"/>
        <v>626.73461190555122</v>
      </c>
      <c r="N90" s="190">
        <f t="shared" si="15"/>
        <v>925.18234762025463</v>
      </c>
      <c r="O90" s="190">
        <f t="shared" si="15"/>
        <v>1283.5570958527896</v>
      </c>
      <c r="P90" s="190">
        <f t="shared" si="15"/>
        <v>1895.1374886930407</v>
      </c>
      <c r="Q90" s="190">
        <f t="shared" si="15"/>
        <v>1942.7061626274372</v>
      </c>
    </row>
    <row r="91" spans="1:17" x14ac:dyDescent="0.25">
      <c r="A91" s="2" t="s">
        <v>395</v>
      </c>
      <c r="B91" s="56" t="s">
        <v>48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x14ac:dyDescent="0.25">
      <c r="A92" s="2"/>
      <c r="B92" s="156" t="s">
        <v>49</v>
      </c>
      <c r="C92" s="157" t="s">
        <v>525</v>
      </c>
      <c r="D92" s="171">
        <f>SUM(F92:Q92)</f>
        <v>12482.541385633953</v>
      </c>
      <c r="E92" s="171">
        <f>D92/12</f>
        <v>1040.2117821361628</v>
      </c>
      <c r="F92" s="172">
        <f>F74-F81</f>
        <v>2517.6184985119735</v>
      </c>
      <c r="G92" s="172">
        <f t="shared" ref="G92:Q92" si="16">G74-G81</f>
        <v>1622.129638550781</v>
      </c>
      <c r="H92" s="172">
        <f t="shared" si="16"/>
        <v>1757.2398444491719</v>
      </c>
      <c r="I92" s="172">
        <f t="shared" si="16"/>
        <v>1098.8256868784804</v>
      </c>
      <c r="J92" s="172">
        <f t="shared" si="16"/>
        <v>1343.6453052494032</v>
      </c>
      <c r="K92" s="172">
        <f t="shared" si="16"/>
        <v>1122.8509455750454</v>
      </c>
      <c r="L92" s="172">
        <f t="shared" si="16"/>
        <v>620.95738797203921</v>
      </c>
      <c r="M92" s="172">
        <f t="shared" si="16"/>
        <v>1058.0346783091395</v>
      </c>
      <c r="N92" s="172">
        <f t="shared" si="16"/>
        <v>648.4494387058794</v>
      </c>
      <c r="O92" s="172">
        <f t="shared" si="16"/>
        <v>345.71504157710319</v>
      </c>
      <c r="P92" s="172">
        <f t="shared" si="16"/>
        <v>186.82449296022381</v>
      </c>
      <c r="Q92" s="172">
        <f t="shared" si="16"/>
        <v>160.25042689471309</v>
      </c>
    </row>
    <row r="93" spans="1:17" x14ac:dyDescent="0.25">
      <c r="A93" s="2"/>
      <c r="B93" s="122" t="s">
        <v>276</v>
      </c>
      <c r="C93" s="152" t="s">
        <v>525</v>
      </c>
      <c r="D93" s="173">
        <f>SUM(F93:Q93)</f>
        <v>520.43795620437936</v>
      </c>
      <c r="E93" s="173">
        <f>D93/12</f>
        <v>43.369829683698278</v>
      </c>
      <c r="F93" s="174">
        <f t="shared" ref="F93:Q93" si="17">IF($C$34="",0,($C$34-$C$38)*(F62/$D$62))</f>
        <v>75.466435622640631</v>
      </c>
      <c r="G93" s="174">
        <f t="shared" si="17"/>
        <v>52.184020416358379</v>
      </c>
      <c r="H93" s="174">
        <f t="shared" si="17"/>
        <v>59.659276809790221</v>
      </c>
      <c r="I93" s="174">
        <f t="shared" si="17"/>
        <v>55.070101670575596</v>
      </c>
      <c r="J93" s="174">
        <f t="shared" si="17"/>
        <v>59.659276809790221</v>
      </c>
      <c r="K93" s="174">
        <f t="shared" si="17"/>
        <v>59.062684041692322</v>
      </c>
      <c r="L93" s="174">
        <f t="shared" si="17"/>
        <v>33.908905195308115</v>
      </c>
      <c r="M93" s="174">
        <f t="shared" si="17"/>
        <v>46.401659740947949</v>
      </c>
      <c r="N93" s="174">
        <f t="shared" si="17"/>
        <v>30.339546753696737</v>
      </c>
      <c r="O93" s="174">
        <f t="shared" si="17"/>
        <v>21.477339651524481</v>
      </c>
      <c r="P93" s="174">
        <f t="shared" si="17"/>
        <v>14.277433766445528</v>
      </c>
      <c r="Q93" s="174">
        <f t="shared" si="17"/>
        <v>12.931275725609233</v>
      </c>
    </row>
    <row r="94" spans="1:17" x14ac:dyDescent="0.25">
      <c r="A94" s="2"/>
      <c r="B94" s="122" t="s">
        <v>354</v>
      </c>
      <c r="C94" s="152"/>
      <c r="D94" s="173"/>
      <c r="E94" s="173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</row>
    <row r="95" spans="1:17" x14ac:dyDescent="0.25">
      <c r="A95" s="2"/>
      <c r="B95" s="122" t="s">
        <v>355</v>
      </c>
      <c r="C95" s="152" t="s">
        <v>525</v>
      </c>
      <c r="D95" s="173">
        <f>SUM(F95:Q95)</f>
        <v>12482.541385633953</v>
      </c>
      <c r="E95" s="173">
        <f>D95/12</f>
        <v>1040.2117821361628</v>
      </c>
      <c r="F95" s="174">
        <f t="shared" ref="F95:Q95" si="18">MAX(0,F74-F81)</f>
        <v>2517.6184985119735</v>
      </c>
      <c r="G95" s="174">
        <f t="shared" si="18"/>
        <v>1622.129638550781</v>
      </c>
      <c r="H95" s="174">
        <f t="shared" si="18"/>
        <v>1757.2398444491719</v>
      </c>
      <c r="I95" s="174">
        <f t="shared" si="18"/>
        <v>1098.8256868784804</v>
      </c>
      <c r="J95" s="174">
        <f t="shared" si="18"/>
        <v>1343.6453052494032</v>
      </c>
      <c r="K95" s="174">
        <f t="shared" si="18"/>
        <v>1122.8509455750454</v>
      </c>
      <c r="L95" s="174">
        <f t="shared" si="18"/>
        <v>620.95738797203921</v>
      </c>
      <c r="M95" s="174">
        <f t="shared" si="18"/>
        <v>1058.0346783091395</v>
      </c>
      <c r="N95" s="174">
        <f t="shared" si="18"/>
        <v>648.4494387058794</v>
      </c>
      <c r="O95" s="174">
        <f t="shared" si="18"/>
        <v>345.71504157710319</v>
      </c>
      <c r="P95" s="174">
        <f t="shared" si="18"/>
        <v>186.82449296022381</v>
      </c>
      <c r="Q95" s="174">
        <f t="shared" si="18"/>
        <v>160.25042689471309</v>
      </c>
    </row>
    <row r="96" spans="1:17" x14ac:dyDescent="0.25">
      <c r="A96" s="2"/>
      <c r="B96" s="122" t="s">
        <v>356</v>
      </c>
      <c r="C96" s="152" t="s">
        <v>525</v>
      </c>
      <c r="D96" s="173">
        <f>SUM(F96:Q96)</f>
        <v>249.6508277126791</v>
      </c>
      <c r="E96" s="173">
        <f>D96/12</f>
        <v>20.80423564272326</v>
      </c>
      <c r="F96" s="174">
        <f>F95*$C$30</f>
        <v>50.352369970239472</v>
      </c>
      <c r="G96" s="174">
        <f t="shared" ref="G96:Q96" si="19">G95*$C$30</f>
        <v>32.442592771015619</v>
      </c>
      <c r="H96" s="174">
        <f t="shared" si="19"/>
        <v>35.144796888983436</v>
      </c>
      <c r="I96" s="174">
        <f t="shared" si="19"/>
        <v>21.976513737569608</v>
      </c>
      <c r="J96" s="174">
        <f t="shared" si="19"/>
        <v>26.872906104988065</v>
      </c>
      <c r="K96" s="174">
        <f t="shared" si="19"/>
        <v>22.45701891150091</v>
      </c>
      <c r="L96" s="174">
        <f t="shared" si="19"/>
        <v>12.419147759440785</v>
      </c>
      <c r="M96" s="174">
        <f t="shared" si="19"/>
        <v>21.16069356618279</v>
      </c>
      <c r="N96" s="174">
        <f t="shared" si="19"/>
        <v>12.968988774117589</v>
      </c>
      <c r="O96" s="174">
        <f t="shared" si="19"/>
        <v>6.9143008315420644</v>
      </c>
      <c r="P96" s="174">
        <f t="shared" si="19"/>
        <v>3.7364898592044762</v>
      </c>
      <c r="Q96" s="174">
        <f t="shared" si="19"/>
        <v>3.2050085378942619</v>
      </c>
    </row>
    <row r="97" spans="1:17" x14ac:dyDescent="0.25">
      <c r="A97" s="2"/>
      <c r="B97" s="122" t="s">
        <v>357</v>
      </c>
      <c r="C97" s="152" t="s">
        <v>525</v>
      </c>
      <c r="D97" s="173">
        <f>SUM(F97:Q97)</f>
        <v>11962.103429429571</v>
      </c>
      <c r="E97" s="173">
        <f>D97/12</f>
        <v>996.84195245246428</v>
      </c>
      <c r="F97" s="174">
        <f>MAX(0,F95-F93)</f>
        <v>2442.1520628893327</v>
      </c>
      <c r="G97" s="174">
        <f t="shared" ref="G97:Q97" si="20">MAX(0,G95-G93)</f>
        <v>1569.9456181344226</v>
      </c>
      <c r="H97" s="174">
        <f t="shared" si="20"/>
        <v>1697.5805676393816</v>
      </c>
      <c r="I97" s="174">
        <f t="shared" si="20"/>
        <v>1043.7555852079047</v>
      </c>
      <c r="J97" s="174">
        <f t="shared" si="20"/>
        <v>1283.9860284396129</v>
      </c>
      <c r="K97" s="174">
        <f t="shared" si="20"/>
        <v>1063.7882615333531</v>
      </c>
      <c r="L97" s="174">
        <f t="shared" si="20"/>
        <v>587.04848277673113</v>
      </c>
      <c r="M97" s="174">
        <f t="shared" si="20"/>
        <v>1011.6330185681916</v>
      </c>
      <c r="N97" s="174">
        <f t="shared" si="20"/>
        <v>618.10989195218269</v>
      </c>
      <c r="O97" s="174">
        <f t="shared" si="20"/>
        <v>324.23770192557873</v>
      </c>
      <c r="P97" s="174">
        <f t="shared" si="20"/>
        <v>172.54705919377827</v>
      </c>
      <c r="Q97" s="174">
        <f t="shared" si="20"/>
        <v>147.31915116910386</v>
      </c>
    </row>
    <row r="98" spans="1:17" x14ac:dyDescent="0.25">
      <c r="A98" s="2"/>
      <c r="B98" s="122" t="s">
        <v>358</v>
      </c>
      <c r="C98" s="152" t="s">
        <v>525</v>
      </c>
      <c r="D98" s="173">
        <f>SUM(F98:Q98)</f>
        <v>1555.0734458258448</v>
      </c>
      <c r="E98" s="173">
        <f>D98/12</f>
        <v>129.5894538188204</v>
      </c>
      <c r="F98" s="174">
        <f>F97*$C$31</f>
        <v>317.47976817561329</v>
      </c>
      <c r="G98" s="174">
        <f t="shared" ref="G98:Q98" si="21">G97*$C$31</f>
        <v>204.09293035747496</v>
      </c>
      <c r="H98" s="174">
        <f t="shared" si="21"/>
        <v>220.6854737931196</v>
      </c>
      <c r="I98" s="174">
        <f t="shared" si="21"/>
        <v>135.68822607702762</v>
      </c>
      <c r="J98" s="174">
        <f t="shared" si="21"/>
        <v>166.91818369714969</v>
      </c>
      <c r="K98" s="174">
        <f t="shared" si="21"/>
        <v>138.2924739993359</v>
      </c>
      <c r="L98" s="174">
        <f t="shared" si="21"/>
        <v>76.316302760975049</v>
      </c>
      <c r="M98" s="174">
        <f t="shared" si="21"/>
        <v>131.51229241386491</v>
      </c>
      <c r="N98" s="174">
        <f t="shared" si="21"/>
        <v>80.354285953783759</v>
      </c>
      <c r="O98" s="174">
        <f t="shared" si="21"/>
        <v>42.150901250325234</v>
      </c>
      <c r="P98" s="174">
        <f t="shared" si="21"/>
        <v>22.431117695191176</v>
      </c>
      <c r="Q98" s="174">
        <f t="shared" si="21"/>
        <v>19.151489651983503</v>
      </c>
    </row>
    <row r="99" spans="1:17" x14ac:dyDescent="0.25">
      <c r="A99" s="2"/>
      <c r="B99" s="160" t="s">
        <v>359</v>
      </c>
      <c r="C99" s="152" t="s">
        <v>35</v>
      </c>
      <c r="D99" s="173">
        <f>SUM(F99:Q99)</f>
        <v>1555.0734458258448</v>
      </c>
      <c r="E99" s="173">
        <f>D99/12</f>
        <v>129.5894538188204</v>
      </c>
      <c r="F99" s="174">
        <f>MAX(F96,F98)</f>
        <v>317.47976817561329</v>
      </c>
      <c r="G99" s="174">
        <f t="shared" ref="G99:Q99" si="22">MAX(G96,G98)</f>
        <v>204.09293035747496</v>
      </c>
      <c r="H99" s="174">
        <f t="shared" si="22"/>
        <v>220.6854737931196</v>
      </c>
      <c r="I99" s="174">
        <f t="shared" si="22"/>
        <v>135.68822607702762</v>
      </c>
      <c r="J99" s="174">
        <f t="shared" si="22"/>
        <v>166.91818369714969</v>
      </c>
      <c r="K99" s="174">
        <f t="shared" si="22"/>
        <v>138.2924739993359</v>
      </c>
      <c r="L99" s="174">
        <f t="shared" si="22"/>
        <v>76.316302760975049</v>
      </c>
      <c r="M99" s="174">
        <f t="shared" si="22"/>
        <v>131.51229241386491</v>
      </c>
      <c r="N99" s="174">
        <f t="shared" si="22"/>
        <v>80.354285953783759</v>
      </c>
      <c r="O99" s="174">
        <f t="shared" si="22"/>
        <v>42.150901250325234</v>
      </c>
      <c r="P99" s="174">
        <f t="shared" si="22"/>
        <v>22.431117695191176</v>
      </c>
      <c r="Q99" s="174">
        <f t="shared" si="22"/>
        <v>19.151489651983503</v>
      </c>
    </row>
    <row r="100" spans="1:17" x14ac:dyDescent="0.25">
      <c r="A100" s="2"/>
      <c r="B100" s="122" t="s">
        <v>360</v>
      </c>
      <c r="C100" s="152"/>
      <c r="D100" s="173"/>
      <c r="E100" s="17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5">
      <c r="A101" s="2"/>
      <c r="B101" s="122" t="s">
        <v>361</v>
      </c>
      <c r="C101" s="152" t="s">
        <v>525</v>
      </c>
      <c r="D101" s="173">
        <f>SUM(F101:Q101)</f>
        <v>10407.029983603727</v>
      </c>
      <c r="E101" s="173">
        <f>D101/12</f>
        <v>867.25249863364388</v>
      </c>
      <c r="F101" s="174">
        <f t="shared" ref="F101:Q101" si="23">MAX(0,F92-F93-F99)</f>
        <v>2124.6722947137196</v>
      </c>
      <c r="G101" s="174">
        <f t="shared" si="23"/>
        <v>1365.8526877769477</v>
      </c>
      <c r="H101" s="174">
        <f t="shared" si="23"/>
        <v>1476.8950938462619</v>
      </c>
      <c r="I101" s="174">
        <f t="shared" si="23"/>
        <v>908.06735913087709</v>
      </c>
      <c r="J101" s="174">
        <f t="shared" si="23"/>
        <v>1117.0678447424632</v>
      </c>
      <c r="K101" s="174">
        <f t="shared" si="23"/>
        <v>925.49578753401715</v>
      </c>
      <c r="L101" s="174">
        <f t="shared" si="23"/>
        <v>510.73218001575606</v>
      </c>
      <c r="M101" s="174">
        <f t="shared" si="23"/>
        <v>880.12072615432669</v>
      </c>
      <c r="N101" s="174">
        <f t="shared" si="23"/>
        <v>537.75560599839889</v>
      </c>
      <c r="O101" s="174">
        <f t="shared" si="23"/>
        <v>282.08680067525347</v>
      </c>
      <c r="P101" s="174">
        <f t="shared" si="23"/>
        <v>150.11594149858709</v>
      </c>
      <c r="Q101" s="174">
        <f t="shared" si="23"/>
        <v>128.16766151712037</v>
      </c>
    </row>
    <row r="102" spans="1:17" x14ac:dyDescent="0.25">
      <c r="A102" s="2"/>
      <c r="B102" s="122" t="s">
        <v>362</v>
      </c>
      <c r="C102" s="152" t="s">
        <v>525</v>
      </c>
      <c r="D102" s="173">
        <f>SUM(F102:Q102)</f>
        <v>2809.8980955730067</v>
      </c>
      <c r="E102" s="173">
        <f>D102/12</f>
        <v>234.15817463108388</v>
      </c>
      <c r="F102" s="191">
        <f>F101*$C$27</f>
        <v>573.66151957270426</v>
      </c>
      <c r="G102" s="191">
        <f t="shared" ref="G102:Q102" si="24">G101*$C$27</f>
        <v>368.78022569977594</v>
      </c>
      <c r="H102" s="191">
        <f t="shared" si="24"/>
        <v>398.76167533849076</v>
      </c>
      <c r="I102" s="191">
        <f t="shared" si="24"/>
        <v>245.17818696533683</v>
      </c>
      <c r="J102" s="191">
        <f t="shared" si="24"/>
        <v>301.6083180804651</v>
      </c>
      <c r="K102" s="191">
        <f t="shared" si="24"/>
        <v>249.88386263418465</v>
      </c>
      <c r="L102" s="191">
        <f t="shared" si="24"/>
        <v>137.89768860425414</v>
      </c>
      <c r="M102" s="191">
        <f t="shared" si="24"/>
        <v>237.63259606166821</v>
      </c>
      <c r="N102" s="191">
        <f t="shared" si="24"/>
        <v>145.1940136195677</v>
      </c>
      <c r="O102" s="191">
        <f t="shared" si="24"/>
        <v>76.163436182318449</v>
      </c>
      <c r="P102" s="191">
        <f t="shared" si="24"/>
        <v>40.531304204618515</v>
      </c>
      <c r="Q102" s="191">
        <f t="shared" si="24"/>
        <v>34.605268609622499</v>
      </c>
    </row>
    <row r="103" spans="1:17" x14ac:dyDescent="0.25">
      <c r="A103" s="2"/>
      <c r="B103" s="160" t="s">
        <v>363</v>
      </c>
      <c r="C103" s="152" t="s">
        <v>525</v>
      </c>
      <c r="D103" s="173">
        <f>SUM(F103:Q103)</f>
        <v>4364.9715413988515</v>
      </c>
      <c r="E103" s="173">
        <f>D103/12</f>
        <v>363.74762844990431</v>
      </c>
      <c r="F103" s="191">
        <f>F99+F102</f>
        <v>891.14128774831761</v>
      </c>
      <c r="G103" s="191">
        <f t="shared" ref="G103:Q103" si="25">G99+G102</f>
        <v>572.87315605725087</v>
      </c>
      <c r="H103" s="191">
        <f t="shared" si="25"/>
        <v>619.44714913161033</v>
      </c>
      <c r="I103" s="191">
        <f t="shared" si="25"/>
        <v>380.86641304236446</v>
      </c>
      <c r="J103" s="191">
        <f t="shared" si="25"/>
        <v>468.52650177761478</v>
      </c>
      <c r="K103" s="191">
        <f t="shared" si="25"/>
        <v>388.17633663352058</v>
      </c>
      <c r="L103" s="191">
        <f t="shared" si="25"/>
        <v>214.21399136522919</v>
      </c>
      <c r="M103" s="191">
        <f t="shared" si="25"/>
        <v>369.14488847553309</v>
      </c>
      <c r="N103" s="191">
        <f t="shared" si="25"/>
        <v>225.54829957335147</v>
      </c>
      <c r="O103" s="191">
        <f t="shared" si="25"/>
        <v>118.31433743264368</v>
      </c>
      <c r="P103" s="191">
        <f t="shared" si="25"/>
        <v>62.962421899809691</v>
      </c>
      <c r="Q103" s="191">
        <f t="shared" si="25"/>
        <v>53.756758261606002</v>
      </c>
    </row>
    <row r="104" spans="1:17" x14ac:dyDescent="0.25">
      <c r="A104" s="2"/>
      <c r="B104" s="122" t="s">
        <v>50</v>
      </c>
      <c r="C104" s="152" t="s">
        <v>29</v>
      </c>
      <c r="D104" s="155">
        <f t="shared" ref="D104:Q104" si="26">IFERROR(D103/D92,0)</f>
        <v>0.34968612612992889</v>
      </c>
      <c r="E104" s="155">
        <f t="shared" si="26"/>
        <v>0.34968612612992889</v>
      </c>
      <c r="F104" s="192">
        <f t="shared" si="26"/>
        <v>0.35396200348663726</v>
      </c>
      <c r="G104" s="192">
        <f t="shared" si="26"/>
        <v>0.35316114226792544</v>
      </c>
      <c r="H104" s="192">
        <f t="shared" si="26"/>
        <v>0.35251144064843554</v>
      </c>
      <c r="I104" s="192">
        <f t="shared" si="26"/>
        <v>0.34661222211169934</v>
      </c>
      <c r="J104" s="192">
        <f t="shared" si="26"/>
        <v>0.34869805293640971</v>
      </c>
      <c r="K104" s="192">
        <f t="shared" si="26"/>
        <v>0.34570602461818645</v>
      </c>
      <c r="L104" s="192">
        <f t="shared" si="26"/>
        <v>0.34497373815749643</v>
      </c>
      <c r="M104" s="192">
        <f t="shared" si="26"/>
        <v>0.34889677629987409</v>
      </c>
      <c r="N104" s="192">
        <f t="shared" si="26"/>
        <v>0.3478271182152331</v>
      </c>
      <c r="O104" s="192">
        <f t="shared" si="26"/>
        <v>0.34223080631062619</v>
      </c>
      <c r="P104" s="192">
        <f t="shared" si="26"/>
        <v>0.33701374430179676</v>
      </c>
      <c r="Q104" s="192">
        <f t="shared" si="26"/>
        <v>0.33545469614832907</v>
      </c>
    </row>
    <row r="105" spans="1:17" x14ac:dyDescent="0.25">
      <c r="A105" s="2" t="s">
        <v>395</v>
      </c>
      <c r="B105" s="56" t="s">
        <v>51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x14ac:dyDescent="0.25">
      <c r="A106" s="2"/>
      <c r="B106" s="156" t="s">
        <v>52</v>
      </c>
      <c r="C106" s="157" t="s">
        <v>525</v>
      </c>
      <c r="D106" s="171">
        <f>SUM(F106:Q106)</f>
        <v>7573.9202091986062</v>
      </c>
      <c r="E106" s="171">
        <f>D106/12</f>
        <v>631.16001743321715</v>
      </c>
      <c r="F106" s="172">
        <f t="shared" ref="F106:Q106" si="27">F92-F103-F88</f>
        <v>1592.3348749972324</v>
      </c>
      <c r="G106" s="172">
        <f t="shared" si="27"/>
        <v>1015.1141467271069</v>
      </c>
      <c r="H106" s="172">
        <f t="shared" si="27"/>
        <v>1103.6503595511381</v>
      </c>
      <c r="I106" s="172">
        <f t="shared" si="27"/>
        <v>683.81693806969258</v>
      </c>
      <c r="J106" s="172">
        <f t="shared" si="27"/>
        <v>840.97646770536505</v>
      </c>
      <c r="K106" s="172">
        <f t="shared" si="27"/>
        <v>694.18190821159783</v>
      </c>
      <c r="L106" s="172">
        <f t="shared" si="27"/>
        <v>372.60106084038671</v>
      </c>
      <c r="M106" s="172">
        <f t="shared" si="27"/>
        <v>654.74745406718307</v>
      </c>
      <c r="N106" s="172">
        <f t="shared" si="27"/>
        <v>388.75880336610459</v>
      </c>
      <c r="O106" s="172">
        <f t="shared" si="27"/>
        <v>193.25836837803615</v>
      </c>
      <c r="P106" s="172">
        <f t="shared" si="27"/>
        <v>89.719735293990766</v>
      </c>
      <c r="Q106" s="172">
        <f t="shared" si="27"/>
        <v>-55.239908009228657</v>
      </c>
    </row>
    <row r="107" spans="1:17" x14ac:dyDescent="0.25">
      <c r="A107" s="2"/>
      <c r="B107" s="122" t="s">
        <v>53</v>
      </c>
      <c r="C107" s="152" t="s">
        <v>54</v>
      </c>
      <c r="D107" s="19"/>
      <c r="E107" s="19"/>
      <c r="F107" s="193">
        <f>IF($C$25="",1,1/(1+$C$25)^(10/12+0.5))</f>
        <v>0.93701728267256856</v>
      </c>
      <c r="G107" s="193">
        <f>IF($C$25="",1,1/(1+$C$25)^(10/12+1.5))</f>
        <v>0.89239741206911283</v>
      </c>
      <c r="H107" s="193">
        <f>IF($C$25="",1,1/(1+$C$25)^(10/12+2.5))</f>
        <v>0.84990229720867894</v>
      </c>
      <c r="I107" s="193">
        <f>IF($C$25="",1,1/(1+$C$25)^(10/12+3.5))</f>
        <v>0.80943075924636076</v>
      </c>
      <c r="J107" s="193">
        <f>IF($C$25="",1,1/(1+$C$25)^(10/12+4.5))</f>
        <v>0.77088643737748652</v>
      </c>
      <c r="K107" s="193">
        <f>IF($C$25="",1,1/(1+$C$25)^(10/12+5.5))</f>
        <v>0.73417755940712992</v>
      </c>
      <c r="L107" s="193">
        <f>IF($C$25="",1,1/(1+$C$25)^(10/12+6.5))</f>
        <v>0.6992167232448856</v>
      </c>
      <c r="M107" s="193">
        <f>IF($C$25="",1,1/(1+$C$25)^(10/12+7.5))</f>
        <v>0.66592068880465283</v>
      </c>
      <c r="N107" s="193">
        <f>IF($C$25="",1,1/(1+$C$25)^(10/12+8.5))</f>
        <v>0.634210179813955</v>
      </c>
      <c r="O107" s="193">
        <f>IF($C$25="",1,1/(1+$C$25)^(10/12+9.5))</f>
        <v>0.60400969506090951</v>
      </c>
      <c r="P107" s="193">
        <f>IF($C$25="",1,1/(1+$C$25)^(10/12+10.5))</f>
        <v>0.57524732862943762</v>
      </c>
      <c r="Q107" s="193">
        <f>IF($C$25="",1,1/(1+$C$25)^(10/12+11.5))</f>
        <v>0.54785459869470254</v>
      </c>
    </row>
    <row r="108" spans="1:17" x14ac:dyDescent="0.25">
      <c r="A108" s="2"/>
      <c r="B108" s="194" t="s">
        <v>55</v>
      </c>
      <c r="C108" s="157" t="s">
        <v>525</v>
      </c>
      <c r="D108" s="171">
        <f>SUM(F108:Q108)</f>
        <v>6128.5491942985591</v>
      </c>
      <c r="E108" s="195"/>
      <c r="F108" s="196">
        <f t="shared" ref="F108:Q108" si="28">F106*F107</f>
        <v>1492.0452976746708</v>
      </c>
      <c r="G108" s="196">
        <f t="shared" si="28"/>
        <v>905.88523749401588</v>
      </c>
      <c r="H108" s="196">
        <f t="shared" si="28"/>
        <v>937.99497589769669</v>
      </c>
      <c r="I108" s="196">
        <f t="shared" si="28"/>
        <v>553.50246336727298</v>
      </c>
      <c r="J108" s="196">
        <f t="shared" si="28"/>
        <v>648.29735310769172</v>
      </c>
      <c r="K108" s="196">
        <f t="shared" si="28"/>
        <v>509.65277915537519</v>
      </c>
      <c r="L108" s="196">
        <f t="shared" si="28"/>
        <v>260.52889283838346</v>
      </c>
      <c r="M108" s="196">
        <f t="shared" si="28"/>
        <v>436.00987560551135</v>
      </c>
      <c r="N108" s="196">
        <f t="shared" si="28"/>
        <v>246.55479058707516</v>
      </c>
      <c r="O108" s="196">
        <f t="shared" si="28"/>
        <v>116.72992815198653</v>
      </c>
      <c r="P108" s="196">
        <f t="shared" si="28"/>
        <v>51.61103805320846</v>
      </c>
      <c r="Q108" s="196">
        <f t="shared" si="28"/>
        <v>-30.263437634328252</v>
      </c>
    </row>
    <row r="109" spans="1:1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5">
      <c r="A110" s="2"/>
      <c r="B110" s="149" t="s">
        <v>56</v>
      </c>
      <c r="C110" s="197" t="s">
        <v>525</v>
      </c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9">
        <f>D108</f>
        <v>6128.5491942985591</v>
      </c>
    </row>
    <row r="111" spans="1:17" x14ac:dyDescent="0.25">
      <c r="A111" s="2"/>
      <c r="B111" s="200" t="s">
        <v>57</v>
      </c>
      <c r="C111" s="197" t="s">
        <v>525</v>
      </c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201">
        <f>IF(OR(C38="",C25=""),0,C38/(1+C25)^C10)</f>
        <v>0</v>
      </c>
    </row>
    <row r="112" spans="1:17" x14ac:dyDescent="0.25">
      <c r="A112" s="2"/>
      <c r="B112" s="202" t="s">
        <v>364</v>
      </c>
      <c r="C112" s="203" t="s">
        <v>525</v>
      </c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204">
        <f>IF(OR(C35="",C25=""),0,(C35-C36)/(1+C25)^1)</f>
        <v>191.35071254779274</v>
      </c>
    </row>
    <row r="113" spans="1:17" x14ac:dyDescent="0.25">
      <c r="A113" s="2"/>
      <c r="B113" s="202" t="s">
        <v>391</v>
      </c>
      <c r="C113" s="203" t="s">
        <v>525</v>
      </c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205">
        <f>IF(OR(C40="",C25=""),0,C40/(1+C25)^1)</f>
        <v>30.100799443865132</v>
      </c>
    </row>
    <row r="114" spans="1:17" x14ac:dyDescent="0.25">
      <c r="A114" s="2"/>
      <c r="B114" s="200" t="s">
        <v>350</v>
      </c>
      <c r="C114" s="197" t="s">
        <v>525</v>
      </c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206">
        <f>IF(C33="",0,-C33)</f>
        <v>33.941605839416056</v>
      </c>
    </row>
    <row r="115" spans="1:17" x14ac:dyDescent="0.25">
      <c r="A115" s="2"/>
      <c r="B115" s="202" t="s">
        <v>627</v>
      </c>
      <c r="C115" s="203" t="s">
        <v>525</v>
      </c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204">
        <f>IF(C42="Buyback",C45/(1+C25)^1,0)</f>
        <v>0</v>
      </c>
    </row>
    <row r="116" spans="1:17" x14ac:dyDescent="0.25">
      <c r="A116" s="2"/>
      <c r="B116" s="56" t="s">
        <v>508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07">
        <f>SUM(Q110:Q114)-Q115</f>
        <v>6383.9423121296331</v>
      </c>
    </row>
    <row r="117" spans="1:17" x14ac:dyDescent="0.25">
      <c r="A117" s="2"/>
      <c r="B117" s="56" t="s">
        <v>507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08">
        <f>IFERROR(Q116/C32,0)</f>
        <v>52.629367783426488</v>
      </c>
    </row>
    <row r="118" spans="1:1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5">
      <c r="A120" s="2" t="s">
        <v>395</v>
      </c>
      <c r="B120" s="56" t="s">
        <v>58</v>
      </c>
      <c r="C120" s="11"/>
      <c r="D120" s="11"/>
      <c r="E120" s="11"/>
      <c r="F120" s="11"/>
      <c r="G120" s="11"/>
      <c r="H120" s="11"/>
      <c r="I120" s="11"/>
      <c r="J120" s="11"/>
      <c r="K120" s="2"/>
      <c r="L120" s="2"/>
      <c r="M120" s="2"/>
      <c r="N120" s="2"/>
      <c r="O120" s="2"/>
      <c r="P120" s="2"/>
      <c r="Q120" s="2"/>
    </row>
    <row r="121" spans="1:17" x14ac:dyDescent="0.25">
      <c r="A121" s="2" t="s">
        <v>528</v>
      </c>
      <c r="B121" s="145" t="s">
        <v>527</v>
      </c>
      <c r="C121" s="209" t="s">
        <v>59</v>
      </c>
      <c r="D121" s="210">
        <f t="shared" ref="D121:E121" si="29">E121-200</f>
        <v>2550</v>
      </c>
      <c r="E121" s="210">
        <f t="shared" si="29"/>
        <v>2750</v>
      </c>
      <c r="F121" s="210">
        <f>G121-200</f>
        <v>2950</v>
      </c>
      <c r="G121" s="210">
        <f>C18</f>
        <v>3150</v>
      </c>
      <c r="H121" s="210">
        <f>G121+200</f>
        <v>3350</v>
      </c>
      <c r="I121" s="210">
        <f t="shared" ref="I121:J121" si="30">H121+200</f>
        <v>3550</v>
      </c>
      <c r="J121" s="210">
        <f t="shared" si="30"/>
        <v>3750</v>
      </c>
      <c r="K121" s="2"/>
      <c r="L121" s="2"/>
      <c r="M121" s="2"/>
      <c r="N121" s="2"/>
      <c r="O121" s="2"/>
      <c r="P121" s="2"/>
      <c r="Q121" s="2"/>
    </row>
    <row r="122" spans="1:17" x14ac:dyDescent="0.25">
      <c r="A122" s="2"/>
      <c r="B122" s="2"/>
      <c r="C122" s="139">
        <f>C25+4%</f>
        <v>0.09</v>
      </c>
      <c r="D122" s="211" cm="1">
        <f t="array" ref="D122">IFERROR(_xlfn.LET(_xlpm.adj,$F$92:$Q$92+($F$62:$Q$62*(D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122)^_xlpm.periods,SUMPRODUCT(_xlpm.fcf*_xlpm.disc)+IF($C$38="",0,$C$38/(1+$C122)^$C$10)-IF(OR($C$35="",$C$36=""),0,($C$35-$C$36)/(1+$C122)^1)+IF($C$33="",0,-$C$33))/IF($C$32="",1,$C$32),0)</f>
        <v>36.746128456325614</v>
      </c>
      <c r="E122" s="211" cm="1">
        <f t="array" ref="E122">IFERROR(_xlfn.LET(_xlpm.adj,$F$92:$Q$92+($F$62:$Q$62*(E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122)^_xlpm.periods,SUMPRODUCT(_xlpm.fcf*_xlpm.disc)+IF($C$38="",0,$C$38/(1+$C122)^$C$10)-IF(OR($C$35="",$C$36=""),0,($C$35-$C$36)/(1+$C122)^1)+IF($C$33="",0,-$C$33))/IF($C$32="",1,$C$32),0)</f>
        <v>38.558164176246301</v>
      </c>
      <c r="F122" s="211" cm="1">
        <f t="array" ref="F122">IFERROR(_xlfn.LET(_xlpm.adj,$F$92:$Q$92+($F$62:$Q$62*(F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122)^_xlpm.periods,SUMPRODUCT(_xlpm.fcf*_xlpm.disc)+IF($C$38="",0,$C$38/(1+$C122)^$C$10)-IF(OR($C$35="",$C$36=""),0,($C$35-$C$36)/(1+$C122)^1)+IF($C$33="",0,-$C$33))/IF($C$32="",1,$C$32),0)</f>
        <v>40.370199896167009</v>
      </c>
      <c r="G122" s="211" cm="1">
        <f t="array" ref="G122">IFERROR(_xlfn.LET(_xlpm.adj,$F$92:$Q$92+($F$62:$Q$62*(G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122)^_xlpm.periods,SUMPRODUCT(_xlpm.fcf*_xlpm.disc)+IF($C$38="",0,$C$38/(1+$C122)^$C$10)-IF(OR($C$35="",$C$36=""),0,($C$35-$C$36)/(1+$C122)^1)+IF($C$33="",0,-$C$33))/IF($C$32="",1,$C$32),0)</f>
        <v>42.182235616087695</v>
      </c>
      <c r="H122" s="211" cm="1">
        <f t="array" ref="H122">IFERROR(_xlfn.LET(_xlpm.adj,$F$92:$Q$92+($F$62:$Q$62*(H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122)^_xlpm.periods,SUMPRODUCT(_xlpm.fcf*_xlpm.disc)+IF($C$38="",0,$C$38/(1+$C122)^$C$10)-IF(OR($C$35="",$C$36=""),0,($C$35-$C$36)/(1+$C122)^1)+IF($C$33="",0,-$C$33))/IF($C$32="",1,$C$32),0)</f>
        <v>43.994271336008381</v>
      </c>
      <c r="I122" s="211" cm="1">
        <f t="array" ref="I122">IFERROR(_xlfn.LET(_xlpm.adj,$F$92:$Q$92+($F$62:$Q$62*(I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122)^_xlpm.periods,SUMPRODUCT(_xlpm.fcf*_xlpm.disc)+IF($C$38="",0,$C$38/(1+$C122)^$C$10)-IF(OR($C$35="",$C$36=""),0,($C$35-$C$36)/(1+$C122)^1)+IF($C$33="",0,-$C$33))/IF($C$32="",1,$C$32),0)</f>
        <v>45.806307055929075</v>
      </c>
      <c r="J122" s="211" cm="1">
        <f t="array" ref="J122">IFERROR(_xlfn.LET(_xlpm.adj,$F$92:$Q$92+($F$62:$Q$62*(J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122)^_xlpm.periods,SUMPRODUCT(_xlpm.fcf*_xlpm.disc)+IF($C$38="",0,$C$38/(1+$C122)^$C$10)-IF(OR($C$35="",$C$36=""),0,($C$35-$C$36)/(1+$C122)^1)+IF($C$33="",0,-$C$33))/IF($C$32="",1,$C$32),0)</f>
        <v>47.618342775849747</v>
      </c>
      <c r="K122" s="2"/>
      <c r="L122" s="2"/>
      <c r="M122" s="2"/>
      <c r="N122" s="2"/>
      <c r="O122" s="2"/>
      <c r="P122" s="2"/>
      <c r="Q122" s="2"/>
    </row>
    <row r="123" spans="1:17" x14ac:dyDescent="0.25">
      <c r="A123" s="2"/>
      <c r="B123" s="2"/>
      <c r="C123" s="139">
        <f>C25+3%</f>
        <v>0.08</v>
      </c>
      <c r="D123" s="211" cm="1">
        <f t="array" ref="D123">IFERROR(_xlfn.LET(_xlpm.adj,$F$92:$Q$92+($F$62:$Q$62*(D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123)^_xlpm.periods,SUMPRODUCT(_xlpm.fcf*_xlpm.disc)+IF($C$38="",0,$C$38/(1+$C123)^$C$10)-IF(OR($C$35="",$C$36=""),0,($C$35-$C$36)/(1+$C123)^1)+IF($C$33="",0,-$C$33))/IF($C$32="",1,$C$32),0)</f>
        <v>38.105824957040205</v>
      </c>
      <c r="E123" s="211" cm="1">
        <f t="array" ref="E123">IFERROR(_xlfn.LET(_xlpm.adj,$F$92:$Q$92+($F$62:$Q$62*(E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123)^_xlpm.periods,SUMPRODUCT(_xlpm.fcf*_xlpm.disc)+IF($C$38="",0,$C$38/(1+$C123)^$C$10)-IF(OR($C$35="",$C$36=""),0,($C$35-$C$36)/(1+$C123)^1)+IF($C$33="",0,-$C$33))/IF($C$32="",1,$C$32),0)</f>
        <v>39.998164245214475</v>
      </c>
      <c r="F123" s="211" cm="1">
        <f t="array" ref="F123">IFERROR(_xlfn.LET(_xlpm.adj,$F$92:$Q$92+($F$62:$Q$62*(F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123)^_xlpm.periods,SUMPRODUCT(_xlpm.fcf*_xlpm.disc)+IF($C$38="",0,$C$38/(1+$C123)^$C$10)-IF(OR($C$35="",$C$36=""),0,($C$35-$C$36)/(1+$C123)^1)+IF($C$33="",0,-$C$33))/IF($C$32="",1,$C$32),0)</f>
        <v>41.890503533388738</v>
      </c>
      <c r="G123" s="211" cm="1">
        <f t="array" ref="G123">IFERROR(_xlfn.LET(_xlpm.adj,$F$92:$Q$92+($F$62:$Q$62*(G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123)^_xlpm.periods,SUMPRODUCT(_xlpm.fcf*_xlpm.disc)+IF($C$38="",0,$C$38/(1+$C123)^$C$10)-IF(OR($C$35="",$C$36=""),0,($C$35-$C$36)/(1+$C123)^1)+IF($C$33="",0,-$C$33))/IF($C$32="",1,$C$32),0)</f>
        <v>43.782842821563008</v>
      </c>
      <c r="H123" s="211" cm="1">
        <f t="array" ref="H123">IFERROR(_xlfn.LET(_xlpm.adj,$F$92:$Q$92+($F$62:$Q$62*(H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123)^_xlpm.periods,SUMPRODUCT(_xlpm.fcf*_xlpm.disc)+IF($C$38="",0,$C$38/(1+$C123)^$C$10)-IF(OR($C$35="",$C$36=""),0,($C$35-$C$36)/(1+$C123)^1)+IF($C$33="",0,-$C$33))/IF($C$32="",1,$C$32),0)</f>
        <v>45.675182109737307</v>
      </c>
      <c r="I123" s="211" cm="1">
        <f t="array" ref="I123">IFERROR(_xlfn.LET(_xlpm.adj,$F$92:$Q$92+($F$62:$Q$62*(I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123)^_xlpm.periods,SUMPRODUCT(_xlpm.fcf*_xlpm.disc)+IF($C$38="",0,$C$38/(1+$C123)^$C$10)-IF(OR($C$35="",$C$36=""),0,($C$35-$C$36)/(1+$C123)^1)+IF($C$33="",0,-$C$33))/IF($C$32="",1,$C$32),0)</f>
        <v>47.56752139791157</v>
      </c>
      <c r="J123" s="211" cm="1">
        <f t="array" ref="J123">IFERROR(_xlfn.LET(_xlpm.adj,$F$92:$Q$92+($F$62:$Q$62*(J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123)^_xlpm.periods,SUMPRODUCT(_xlpm.fcf*_xlpm.disc)+IF($C$38="",0,$C$38/(1+$C123)^$C$10)-IF(OR($C$35="",$C$36=""),0,($C$35-$C$36)/(1+$C123)^1)+IF($C$33="",0,-$C$33))/IF($C$32="",1,$C$32),0)</f>
        <v>49.45986068608584</v>
      </c>
      <c r="K123" s="2"/>
      <c r="L123" s="2"/>
      <c r="M123" s="2"/>
      <c r="N123" s="2"/>
      <c r="O123" s="2"/>
      <c r="P123" s="2"/>
      <c r="Q123" s="2"/>
    </row>
    <row r="124" spans="1:17" x14ac:dyDescent="0.25">
      <c r="A124" s="2"/>
      <c r="B124" s="2"/>
      <c r="C124" s="139">
        <f>C25+2%</f>
        <v>7.0000000000000007E-2</v>
      </c>
      <c r="D124" s="211" cm="1">
        <f t="array" ref="D124">IFERROR(_xlfn.LET(_xlpm.adj,$F$92:$Q$92+($F$62:$Q$62*(D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124)^_xlpm.periods,SUMPRODUCT(_xlpm.fcf*_xlpm.disc)+IF($C$38="",0,$C$38/(1+$C124)^$C$10)-IF(OR($C$35="",$C$36=""),0,($C$35-$C$36)/(1+$C124)^1)+IF($C$33="",0,-$C$33))/IF($C$32="",1,$C$32),0)</f>
        <v>39.549439548954545</v>
      </c>
      <c r="E124" s="211" cm="1">
        <f t="array" ref="E124">IFERROR(_xlfn.LET(_xlpm.adj,$F$92:$Q$92+($F$62:$Q$62*(E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124)^_xlpm.periods,SUMPRODUCT(_xlpm.fcf*_xlpm.disc)+IF($C$38="",0,$C$38/(1+$C124)^$C$10)-IF(OR($C$35="",$C$36=""),0,($C$35-$C$36)/(1+$C124)^1)+IF($C$33="",0,-$C$33))/IF($C$32="",1,$C$32),0)</f>
        <v>41.527819097025414</v>
      </c>
      <c r="F124" s="211" cm="1">
        <f t="array" ref="F124">IFERROR(_xlfn.LET(_xlpm.adj,$F$92:$Q$92+($F$62:$Q$62*(F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124)^_xlpm.periods,SUMPRODUCT(_xlpm.fcf*_xlpm.disc)+IF($C$38="",0,$C$38/(1+$C124)^$C$10)-IF(OR($C$35="",$C$36=""),0,($C$35-$C$36)/(1+$C124)^1)+IF($C$33="",0,-$C$33))/IF($C$32="",1,$C$32),0)</f>
        <v>43.506198645096291</v>
      </c>
      <c r="G124" s="211" cm="1">
        <f t="array" ref="G124">IFERROR(_xlfn.LET(_xlpm.adj,$F$92:$Q$92+($F$62:$Q$62*(G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124)^_xlpm.periods,SUMPRODUCT(_xlpm.fcf*_xlpm.disc)+IF($C$38="",0,$C$38/(1+$C124)^$C$10)-IF(OR($C$35="",$C$36=""),0,($C$35-$C$36)/(1+$C124)^1)+IF($C$33="",0,-$C$33))/IF($C$32="",1,$C$32),0)</f>
        <v>45.484578193167174</v>
      </c>
      <c r="H124" s="211" cm="1">
        <f t="array" ref="H124">IFERROR(_xlfn.LET(_xlpm.adj,$F$92:$Q$92+($F$62:$Q$62*(H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124)^_xlpm.periods,SUMPRODUCT(_xlpm.fcf*_xlpm.disc)+IF($C$38="",0,$C$38/(1+$C124)^$C$10)-IF(OR($C$35="",$C$36=""),0,($C$35-$C$36)/(1+$C124)^1)+IF($C$33="",0,-$C$33))/IF($C$32="",1,$C$32),0)</f>
        <v>47.462957741238021</v>
      </c>
      <c r="I124" s="211" cm="1">
        <f t="array" ref="I124">IFERROR(_xlfn.LET(_xlpm.adj,$F$92:$Q$92+($F$62:$Q$62*(I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124)^_xlpm.periods,SUMPRODUCT(_xlpm.fcf*_xlpm.disc)+IF($C$38="",0,$C$38/(1+$C124)^$C$10)-IF(OR($C$35="",$C$36=""),0,($C$35-$C$36)/(1+$C124)^1)+IF($C$33="",0,-$C$33))/IF($C$32="",1,$C$32),0)</f>
        <v>49.441337289308905</v>
      </c>
      <c r="J124" s="211" cm="1">
        <f t="array" ref="J124">IFERROR(_xlfn.LET(_xlpm.adj,$F$92:$Q$92+($F$62:$Q$62*(J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124)^_xlpm.periods,SUMPRODUCT(_xlpm.fcf*_xlpm.disc)+IF($C$38="",0,$C$38/(1+$C124)^$C$10)-IF(OR($C$35="",$C$36=""),0,($C$35-$C$36)/(1+$C124)^1)+IF($C$33="",0,-$C$33))/IF($C$32="",1,$C$32),0)</f>
        <v>51.419716837379774</v>
      </c>
      <c r="K124" s="2"/>
      <c r="L124" s="2"/>
      <c r="M124" s="2"/>
      <c r="N124" s="2"/>
      <c r="O124" s="2"/>
      <c r="P124" s="2"/>
      <c r="Q124" s="2"/>
    </row>
    <row r="125" spans="1:17" x14ac:dyDescent="0.25">
      <c r="A125" s="2"/>
      <c r="B125" s="2"/>
      <c r="C125" s="139">
        <f>C25+1%</f>
        <v>6.0000000000000005E-2</v>
      </c>
      <c r="D125" s="211" cm="1">
        <f t="array" ref="D125">IFERROR(_xlfn.LET(_xlpm.adj,$F$92:$Q$92+($F$62:$Q$62*(D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125)^_xlpm.periods,SUMPRODUCT(_xlpm.fcf*_xlpm.disc)+IF($C$38="",0,$C$38/(1+$C125)^$C$10)-IF(OR($C$35="",$C$36=""),0,($C$35-$C$36)/(1+$C125)^1)+IF($C$33="",0,-$C$33))/IF($C$32="",1,$C$32),0)</f>
        <v>41.083844866156234</v>
      </c>
      <c r="E125" s="211" cm="1">
        <f t="array" ref="E125">IFERROR(_xlfn.LET(_xlpm.adj,$F$92:$Q$92+($F$62:$Q$62*(E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125)^_xlpm.periods,SUMPRODUCT(_xlpm.fcf*_xlpm.disc)+IF($C$38="",0,$C$38/(1+$C125)^$C$10)-IF(OR($C$35="",$C$36=""),0,($C$35-$C$36)/(1+$C125)^1)+IF($C$33="",0,-$C$33))/IF($C$32="",1,$C$32),0)</f>
        <v>43.154537382957315</v>
      </c>
      <c r="F125" s="211" cm="1">
        <f t="array" ref="F125">IFERROR(_xlfn.LET(_xlpm.adj,$F$92:$Q$92+($F$62:$Q$62*(F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125)^_xlpm.periods,SUMPRODUCT(_xlpm.fcf*_xlpm.disc)+IF($C$38="",0,$C$38/(1+$C125)^$C$10)-IF(OR($C$35="",$C$36=""),0,($C$35-$C$36)/(1+$C125)^1)+IF($C$33="",0,-$C$33))/IF($C$32="",1,$C$32),0)</f>
        <v>45.225229899758418</v>
      </c>
      <c r="G125" s="211" cm="1">
        <f t="array" ref="G125">IFERROR(_xlfn.LET(_xlpm.adj,$F$92:$Q$92+($F$62:$Q$62*(G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125)^_xlpm.periods,SUMPRODUCT(_xlpm.fcf*_xlpm.disc)+IF($C$38="",0,$C$38/(1+$C125)^$C$10)-IF(OR($C$35="",$C$36=""),0,($C$35-$C$36)/(1+$C125)^1)+IF($C$33="",0,-$C$33))/IF($C$32="",1,$C$32),0)</f>
        <v>47.295922416559499</v>
      </c>
      <c r="H125" s="211" cm="1">
        <f t="array" ref="H125">IFERROR(_xlfn.LET(_xlpm.adj,$F$92:$Q$92+($F$62:$Q$62*(H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125)^_xlpm.periods,SUMPRODUCT(_xlpm.fcf*_xlpm.disc)+IF($C$38="",0,$C$38/(1+$C125)^$C$10)-IF(OR($C$35="",$C$36=""),0,($C$35-$C$36)/(1+$C125)^1)+IF($C$33="",0,-$C$33))/IF($C$32="",1,$C$32),0)</f>
        <v>49.36661493336058</v>
      </c>
      <c r="I125" s="211" cm="1">
        <f t="array" ref="I125">IFERROR(_xlfn.LET(_xlpm.adj,$F$92:$Q$92+($F$62:$Q$62*(I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125)^_xlpm.periods,SUMPRODUCT(_xlpm.fcf*_xlpm.disc)+IF($C$38="",0,$C$38/(1+$C125)^$C$10)-IF(OR($C$35="",$C$36=""),0,($C$35-$C$36)/(1+$C125)^1)+IF($C$33="",0,-$C$33))/IF($C$32="",1,$C$32),0)</f>
        <v>51.437307450161668</v>
      </c>
      <c r="J125" s="211" cm="1">
        <f t="array" ref="J125">IFERROR(_xlfn.LET(_xlpm.adj,$F$92:$Q$92+($F$62:$Q$62*(J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125)^_xlpm.periods,SUMPRODUCT(_xlpm.fcf*_xlpm.disc)+IF($C$38="",0,$C$38/(1+$C125)^$C$10)-IF(OR($C$35="",$C$36=""),0,($C$35-$C$36)/(1+$C125)^1)+IF($C$33="",0,-$C$33))/IF($C$32="",1,$C$32),0)</f>
        <v>53.507999966962757</v>
      </c>
      <c r="K125" s="2"/>
      <c r="L125" s="2"/>
      <c r="M125" s="2"/>
      <c r="N125" s="2"/>
      <c r="O125" s="2"/>
      <c r="P125" s="2"/>
      <c r="Q125" s="2"/>
    </row>
    <row r="126" spans="1:17" x14ac:dyDescent="0.25">
      <c r="A126" s="2"/>
      <c r="B126" s="2"/>
      <c r="C126" s="139">
        <f>C25</f>
        <v>0.05</v>
      </c>
      <c r="D126" s="211" cm="1">
        <f t="array" ref="D126">IFERROR(_xlfn.LET(_xlpm.adj,$F$92:$Q$92+($F$62:$Q$62*(D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126)^_xlpm.periods,SUMPRODUCT(_xlpm.fcf*_xlpm.disc)+IF($C$38="",0,$C$38/(1+$C126)^$C$10)-IF(OR($C$35="",$C$36=""),0,($C$35-$C$36)/(1+$C126)^1)+IF($C$33="",0,-$C$33))/IF($C$32="",1,$C$32),0)</f>
        <v>42.716593079402003</v>
      </c>
      <c r="E126" s="211" cm="1">
        <f t="array" ref="E126">IFERROR(_xlfn.LET(_xlpm.adj,$F$92:$Q$92+($F$62:$Q$62*(E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126)^_xlpm.periods,SUMPRODUCT(_xlpm.fcf*_xlpm.disc)+IF($C$38="",0,$C$38/(1+$C126)^$C$10)-IF(OR($C$35="",$C$36=""),0,($C$35-$C$36)/(1+$C126)^1)+IF($C$33="",0,-$C$33))/IF($C$32="",1,$C$32),0)</f>
        <v>44.886467624768102</v>
      </c>
      <c r="F126" s="211" cm="1">
        <f t="array" ref="F126">IFERROR(_xlfn.LET(_xlpm.adj,$F$92:$Q$92+($F$62:$Q$62*(F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126)^_xlpm.periods,SUMPRODUCT(_xlpm.fcf*_xlpm.disc)+IF($C$38="",0,$C$38/(1+$C126)^$C$10)-IF(OR($C$35="",$C$36=""),0,($C$35-$C$36)/(1+$C126)^1)+IF($C$33="",0,-$C$33))/IF($C$32="",1,$C$32),0)</f>
        <v>47.05634217013418</v>
      </c>
      <c r="G126" s="211" cm="1">
        <f t="array" ref="G126">IFERROR(_xlfn.LET(_xlpm.adj,$F$92:$Q$92+($F$62:$Q$62*(G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126)^_xlpm.periods,SUMPRODUCT(_xlpm.fcf*_xlpm.disc)+IF($C$38="",0,$C$38/(1+$C126)^$C$10)-IF(OR($C$35="",$C$36=""),0,($C$35-$C$36)/(1+$C126)^1)+IF($C$33="",0,-$C$33))/IF($C$32="",1,$C$32),0)</f>
        <v>49.226216715500271</v>
      </c>
      <c r="H126" s="211" cm="1">
        <f t="array" ref="H126">IFERROR(_xlfn.LET(_xlpm.adj,$F$92:$Q$92+($F$62:$Q$62*(H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126)^_xlpm.periods,SUMPRODUCT(_xlpm.fcf*_xlpm.disc)+IF($C$38="",0,$C$38/(1+$C126)^$C$10)-IF(OR($C$35="",$C$36=""),0,($C$35-$C$36)/(1+$C126)^1)+IF($C$33="",0,-$C$33))/IF($C$32="",1,$C$32),0)</f>
        <v>51.396091260866363</v>
      </c>
      <c r="I126" s="211" cm="1">
        <f t="array" ref="I126">IFERROR(_xlfn.LET(_xlpm.adj,$F$92:$Q$92+($F$62:$Q$62*(I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126)^_xlpm.periods,SUMPRODUCT(_xlpm.fcf*_xlpm.disc)+IF($C$38="",0,$C$38/(1+$C126)^$C$10)-IF(OR($C$35="",$C$36=""),0,($C$35-$C$36)/(1+$C126)^1)+IF($C$33="",0,-$C$33))/IF($C$32="",1,$C$32),0)</f>
        <v>53.56596580623247</v>
      </c>
      <c r="J126" s="211" cm="1">
        <f t="array" ref="J126">IFERROR(_xlfn.LET(_xlpm.adj,$F$92:$Q$92+($F$62:$Q$62*(J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126)^_xlpm.periods,SUMPRODUCT(_xlpm.fcf*_xlpm.disc)+IF($C$38="",0,$C$38/(1+$C126)^$C$10)-IF(OR($C$35="",$C$36=""),0,($C$35-$C$36)/(1+$C126)^1)+IF($C$33="",0,-$C$33))/IF($C$32="",1,$C$32),0)</f>
        <v>55.735840351598561</v>
      </c>
      <c r="K126" s="2"/>
      <c r="L126" s="2"/>
      <c r="M126" s="2"/>
      <c r="N126" s="2"/>
      <c r="O126" s="2"/>
      <c r="P126" s="2"/>
      <c r="Q126" s="2"/>
    </row>
    <row r="127" spans="1:17" x14ac:dyDescent="0.25">
      <c r="A127" s="2"/>
      <c r="B127" s="2"/>
      <c r="C127" s="139">
        <f>C25-1%</f>
        <v>0.04</v>
      </c>
      <c r="D127" s="211" cm="1">
        <f t="array" ref="D127">IFERROR(_xlfn.LET(_xlpm.adj,$F$92:$Q$92+($F$62:$Q$62*(D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127)^_xlpm.periods,SUMPRODUCT(_xlpm.fcf*_xlpm.disc)+IF($C$38="",0,$C$38/(1+$C127)^$C$10)-IF(OR($C$35="",$C$36=""),0,($C$35-$C$36)/(1+$C127)^1)+IF($C$33="",0,-$C$33))/IF($C$32="",1,$C$32),0)</f>
        <v>44.45599320415046</v>
      </c>
      <c r="E127" s="211" cm="1">
        <f t="array" ref="E127">IFERROR(_xlfn.LET(_xlpm.adj,$F$92:$Q$92+($F$62:$Q$62*(E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127)^_xlpm.periods,SUMPRODUCT(_xlpm.fcf*_xlpm.disc)+IF($C$38="",0,$C$38/(1+$C127)^$C$10)-IF(OR($C$35="",$C$36=""),0,($C$35-$C$36)/(1+$C127)^1)+IF($C$33="",0,-$C$33))/IF($C$32="",1,$C$32),0)</f>
        <v>46.732583366256144</v>
      </c>
      <c r="F127" s="211" cm="1">
        <f t="array" ref="F127">IFERROR(_xlfn.LET(_xlpm.adj,$F$92:$Q$92+($F$62:$Q$62*(F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127)^_xlpm.periods,SUMPRODUCT(_xlpm.fcf*_xlpm.disc)+IF($C$38="",0,$C$38/(1+$C127)^$C$10)-IF(OR($C$35="",$C$36=""),0,($C$35-$C$36)/(1+$C127)^1)+IF($C$33="",0,-$C$33))/IF($C$32="",1,$C$32),0)</f>
        <v>49.009173528361828</v>
      </c>
      <c r="G127" s="211" cm="1">
        <f t="array" ref="G127">IFERROR(_xlfn.LET(_xlpm.adj,$F$92:$Q$92+($F$62:$Q$62*(G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127)^_xlpm.periods,SUMPRODUCT(_xlpm.fcf*_xlpm.disc)+IF($C$38="",0,$C$38/(1+$C127)^$C$10)-IF(OR($C$35="",$C$36=""),0,($C$35-$C$36)/(1+$C127)^1)+IF($C$33="",0,-$C$33))/IF($C$32="",1,$C$32),0)</f>
        <v>51.285763690467512</v>
      </c>
      <c r="H127" s="211" cm="1">
        <f t="array" ref="H127">IFERROR(_xlfn.LET(_xlpm.adj,$F$92:$Q$92+($F$62:$Q$62*(H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127)^_xlpm.periods,SUMPRODUCT(_xlpm.fcf*_xlpm.disc)+IF($C$38="",0,$C$38/(1+$C127)^$C$10)-IF(OR($C$35="",$C$36=""),0,($C$35-$C$36)/(1+$C127)^1)+IF($C$33="",0,-$C$33))/IF($C$32="",1,$C$32),0)</f>
        <v>53.56235385257321</v>
      </c>
      <c r="I127" s="211" cm="1">
        <f t="array" ref="I127">IFERROR(_xlfn.LET(_xlpm.adj,$F$92:$Q$92+($F$62:$Q$62*(I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127)^_xlpm.periods,SUMPRODUCT(_xlpm.fcf*_xlpm.disc)+IF($C$38="",0,$C$38/(1+$C127)^$C$10)-IF(OR($C$35="",$C$36=""),0,($C$35-$C$36)/(1+$C127)^1)+IF($C$33="",0,-$C$33))/IF($C$32="",1,$C$32),0)</f>
        <v>55.838944014678894</v>
      </c>
      <c r="J127" s="211" cm="1">
        <f t="array" ref="J127">IFERROR(_xlfn.LET(_xlpm.adj,$F$92:$Q$92+($F$62:$Q$62*(J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127)^_xlpm.periods,SUMPRODUCT(_xlpm.fcf*_xlpm.disc)+IF($C$38="",0,$C$38/(1+$C127)^$C$10)-IF(OR($C$35="",$C$36=""),0,($C$35-$C$36)/(1+$C127)^1)+IF($C$33="",0,-$C$33))/IF($C$32="",1,$C$32),0)</f>
        <v>58.115534176784564</v>
      </c>
      <c r="K127" s="2"/>
      <c r="L127" s="2"/>
      <c r="M127" s="2"/>
      <c r="N127" s="2"/>
      <c r="O127" s="2"/>
      <c r="P127" s="2"/>
      <c r="Q127" s="2"/>
    </row>
    <row r="128" spans="1:17" x14ac:dyDescent="0.25">
      <c r="A128" s="2"/>
      <c r="B128" s="2"/>
      <c r="C128" s="139">
        <f>C25-2%</f>
        <v>3.0000000000000002E-2</v>
      </c>
      <c r="D128" s="211" cm="1">
        <f t="array" ref="D128">IFERROR(_xlfn.LET(_xlpm.adj,$F$92:$Q$92+($F$62:$Q$62*(D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128)^_xlpm.periods,SUMPRODUCT(_xlpm.fcf*_xlpm.disc)+IF($C$38="",0,$C$38/(1+$C128)^$C$10)-IF(OR($C$35="",$C$36=""),0,($C$35-$C$36)/(1+$C128)^1)+IF($C$33="",0,-$C$33))/IF($C$32="",1,$C$32),0)</f>
        <v>46.311198247047976</v>
      </c>
      <c r="E128" s="211" cm="1">
        <f t="array" ref="E128">IFERROR(_xlfn.LET(_xlpm.adj,$F$92:$Q$92+($F$62:$Q$62*(E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128)^_xlpm.periods,SUMPRODUCT(_xlpm.fcf*_xlpm.disc)+IF($C$38="",0,$C$38/(1+$C128)^$C$10)-IF(OR($C$35="",$C$36=""),0,($C$35-$C$36)/(1+$C128)^1)+IF($C$33="",0,-$C$33))/IF($C$32="",1,$C$32),0)</f>
        <v>48.702779311611863</v>
      </c>
      <c r="F128" s="211" cm="1">
        <f t="array" ref="F128">IFERROR(_xlfn.LET(_xlpm.adj,$F$92:$Q$92+($F$62:$Q$62*(F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128)^_xlpm.periods,SUMPRODUCT(_xlpm.fcf*_xlpm.disc)+IF($C$38="",0,$C$38/(1+$C128)^$C$10)-IF(OR($C$35="",$C$36=""),0,($C$35-$C$36)/(1+$C128)^1)+IF($C$33="",0,-$C$33))/IF($C$32="",1,$C$32),0)</f>
        <v>51.094360376175757</v>
      </c>
      <c r="G128" s="211" cm="1">
        <f t="array" ref="G128">IFERROR(_xlfn.LET(_xlpm.adj,$F$92:$Q$92+($F$62:$Q$62*(G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128)^_xlpm.periods,SUMPRODUCT(_xlpm.fcf*_xlpm.disc)+IF($C$38="",0,$C$38/(1+$C128)^$C$10)-IF(OR($C$35="",$C$36=""),0,($C$35-$C$36)/(1+$C128)^1)+IF($C$33="",0,-$C$33))/IF($C$32="",1,$C$32),0)</f>
        <v>53.485941440739644</v>
      </c>
      <c r="H128" s="211" cm="1">
        <f t="array" ref="H128">IFERROR(_xlfn.LET(_xlpm.adj,$F$92:$Q$92+($F$62:$Q$62*(H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128)^_xlpm.periods,SUMPRODUCT(_xlpm.fcf*_xlpm.disc)+IF($C$38="",0,$C$38/(1+$C128)^$C$10)-IF(OR($C$35="",$C$36=""),0,($C$35-$C$36)/(1+$C128)^1)+IF($C$33="",0,-$C$33))/IF($C$32="",1,$C$32),0)</f>
        <v>55.877522505303524</v>
      </c>
      <c r="I128" s="211" cm="1">
        <f t="array" ref="I128">IFERROR(_xlfn.LET(_xlpm.adj,$F$92:$Q$92+($F$62:$Q$62*(I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128)^_xlpm.periods,SUMPRODUCT(_xlpm.fcf*_xlpm.disc)+IF($C$38="",0,$C$38/(1+$C128)^$C$10)-IF(OR($C$35="",$C$36=""),0,($C$35-$C$36)/(1+$C128)^1)+IF($C$33="",0,-$C$33))/IF($C$32="",1,$C$32),0)</f>
        <v>58.269103569867418</v>
      </c>
      <c r="J128" s="211" cm="1">
        <f t="array" ref="J128">IFERROR(_xlfn.LET(_xlpm.adj,$F$92:$Q$92+($F$62:$Q$62*(J$121-$C$18)/1000000)*(1-$C$26),_xlpm.dep,$F$93:$Q$93,_xlpm.nrtbase,IF(_xlpm.adj-_xlpm.dep&gt;0,_xlpm.adj-_xlpm.dep,0),_xlpm.nrt,_xlpm.nrtbase*$C$31,_xlpm.ctaxbase,IF(_xlpm.adj-_xlpm.dep-_xlpm.nrt&gt;0,_xlpm.adj-_xlpm.dep-_xlpm.nrt,0),_xlpm.ctax,_xlpm.ctaxbase*$C$27,_xlpm.ttax,_xlpm.nrt+_xlpm.ctax,_xlpm.fcf,_xlpm.adj-_xlpm.ttax-$F$88:$Q$88,_xlpm.periods,COLUMN($F$92:$Q$92)-COLUMN($F$92)+10/12+0.5,_xlpm.disc,1/(1+$C128)^_xlpm.periods,SUMPRODUCT(_xlpm.fcf*_xlpm.disc)+IF($C$38="",0,$C$38/(1+$C128)^$C$10)-IF(OR($C$35="",$C$36=""),0,($C$35-$C$36)/(1+$C128)^1)+IF($C$33="",0,-$C$33))/IF($C$32="",1,$C$32),0)</f>
        <v>60.660684634431306</v>
      </c>
      <c r="K128" s="2"/>
      <c r="L128" s="2"/>
      <c r="M128" s="2"/>
      <c r="N128" s="2"/>
      <c r="O128" s="2"/>
      <c r="P128" s="2"/>
      <c r="Q128" s="2"/>
    </row>
    <row r="129" spans="1:1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5">
      <c r="A130" s="2"/>
      <c r="B130" s="6" t="s">
        <v>60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5">
      <c r="A131" s="2"/>
      <c r="B131" s="212" t="s">
        <v>61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5">
      <c r="A132" s="2"/>
      <c r="B132" s="59" t="s">
        <v>62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5">
      <c r="A133" s="2"/>
      <c r="B133" s="213" t="s">
        <v>63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5">
      <c r="A134" s="2"/>
      <c r="B134" s="214" t="s">
        <v>64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5">
      <c r="A135" s="2"/>
      <c r="B135" s="214" t="s">
        <v>288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</sheetData>
  <conditionalFormatting sqref="C14">
    <cfRule type="containsText" dxfId="0" priority="1" operator="containsText" text="Base">
      <formula>NOT(ISERROR(SEARCH("Base",C14)))</formula>
    </cfRule>
    <cfRule type="containsText" priority="2" operator="containsText" text="Text">
      <formula>NOT(ISERROR(SEARCH("Text",C14)))</formula>
    </cfRule>
  </conditionalFormatting>
  <conditionalFormatting sqref="D122:J1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4">
    <dataValidation type="list" allowBlank="1" showInputMessage="1" showErrorMessage="1" sqref="C14" xr:uid="{5660E633-31B1-41B2-B65A-DCBB6561B8EB}">
      <formula1>"Bear,Base,Bull"</formula1>
    </dataValidation>
    <dataValidation type="list" allowBlank="1" showInputMessage="1" showErrorMessage="1" sqref="C41" xr:uid="{70A53A7E-C66C-4C58-B4AA-43D037E96699}">
      <formula1>"Yes,No"</formula1>
    </dataValidation>
    <dataValidation type="list" allowBlank="1" showInputMessage="1" showErrorMessage="1" sqref="C42" xr:uid="{3207C6CA-76CD-4E47-9255-94B48AAE9030}">
      <formula1>"Full,Buyback,None"</formula1>
    </dataValidation>
    <dataValidation type="list" allowBlank="1" showInputMessage="1" showErrorMessage="1" sqref="C42" xr:uid="{E238108D-5B2D-49E5-B893-503ED36ED960}">
      <formula1>"Buyback,Full,None"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C353-49A7-4706-B74C-7B94B0EB7DF4}">
  <sheetPr>
    <tabColor rgb="FFC6A54A"/>
  </sheetPr>
  <dimension ref="A1:W49"/>
  <sheetViews>
    <sheetView showGridLines="0" topLeftCell="A5" zoomScale="130" zoomScaleNormal="130" workbookViewId="0">
      <selection activeCell="G42" sqref="G42"/>
    </sheetView>
  </sheetViews>
  <sheetFormatPr defaultRowHeight="15" outlineLevelCol="2" x14ac:dyDescent="0.25"/>
  <cols>
    <col min="1" max="1" width="9.85546875" customWidth="1"/>
    <col min="2" max="2" width="24.7109375" customWidth="1"/>
    <col min="3" max="4" width="14.28515625" customWidth="1"/>
    <col min="5" max="5" width="17.140625" customWidth="1"/>
    <col min="6" max="6" width="18.5703125" bestFit="1" customWidth="1"/>
    <col min="7" max="7" width="17.140625" customWidth="1"/>
    <col min="8" max="8" width="18" hidden="1" customWidth="1" outlineLevel="1"/>
    <col min="9" max="9" width="19.140625" hidden="1" customWidth="1" outlineLevel="1"/>
    <col min="10" max="10" width="21.5703125" hidden="1" customWidth="1" outlineLevel="2"/>
    <col min="11" max="13" width="17.140625" hidden="1" customWidth="1" outlineLevel="2"/>
    <col min="14" max="14" width="17.140625" customWidth="1" collapsed="1"/>
    <col min="15" max="19" width="17.140625" customWidth="1"/>
  </cols>
  <sheetData>
    <row r="1" spans="1:23" x14ac:dyDescent="0.2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</row>
    <row r="2" spans="1:23" ht="15.75" x14ac:dyDescent="0.25">
      <c r="A2" s="215"/>
      <c r="B2" s="323" t="s">
        <v>553</v>
      </c>
    </row>
    <row r="3" spans="1:23" ht="15.75" x14ac:dyDescent="0.25">
      <c r="A3" s="215"/>
      <c r="B3" s="323"/>
    </row>
    <row r="4" spans="1:23" x14ac:dyDescent="0.25">
      <c r="A4" s="215"/>
      <c r="B4" s="56" t="s">
        <v>471</v>
      </c>
      <c r="C4" s="337"/>
      <c r="D4" s="337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</row>
    <row r="5" spans="1:23" x14ac:dyDescent="0.25">
      <c r="A5" s="215"/>
      <c r="B5" s="338" t="s">
        <v>470</v>
      </c>
      <c r="C5" s="359">
        <v>46094</v>
      </c>
      <c r="D5" s="336" t="s">
        <v>472</v>
      </c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</row>
    <row r="6" spans="1:23" x14ac:dyDescent="0.25">
      <c r="A6" s="215"/>
      <c r="B6" s="356" t="s">
        <v>483</v>
      </c>
      <c r="C6" s="358">
        <f>'NAV Model'!C8*'NAV Model'!$C$24</f>
        <v>43.100200000000008</v>
      </c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</row>
    <row r="7" spans="1:23" x14ac:dyDescent="0.25">
      <c r="A7" s="215"/>
      <c r="B7" s="356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</row>
    <row r="8" spans="1:23" x14ac:dyDescent="0.25">
      <c r="A8" s="215"/>
      <c r="B8" s="531" t="s">
        <v>74</v>
      </c>
      <c r="C8" s="531"/>
      <c r="D8" s="531"/>
      <c r="E8" s="531"/>
      <c r="F8" s="531"/>
      <c r="G8" s="531"/>
      <c r="H8" s="508"/>
      <c r="I8" s="508"/>
      <c r="J8" s="327"/>
      <c r="K8" s="327"/>
      <c r="L8" s="327"/>
      <c r="M8" s="327"/>
      <c r="N8" s="537" t="s">
        <v>446</v>
      </c>
      <c r="O8" s="537"/>
      <c r="P8" s="537"/>
      <c r="Q8" s="537"/>
      <c r="R8" s="537"/>
      <c r="S8" s="537"/>
    </row>
    <row r="9" spans="1:23" x14ac:dyDescent="0.25">
      <c r="A9" s="215"/>
      <c r="B9" s="331" t="s">
        <v>443</v>
      </c>
      <c r="C9" s="332" t="s">
        <v>444</v>
      </c>
      <c r="D9" s="332" t="s">
        <v>445</v>
      </c>
      <c r="E9" s="332" t="s">
        <v>473</v>
      </c>
      <c r="F9" s="332" t="s">
        <v>477</v>
      </c>
      <c r="G9" s="332" t="s">
        <v>476</v>
      </c>
      <c r="H9" s="509" t="s">
        <v>613</v>
      </c>
      <c r="I9" s="509" t="s">
        <v>614</v>
      </c>
      <c r="J9" s="332" t="s">
        <v>9</v>
      </c>
      <c r="K9" s="332" t="s">
        <v>447</v>
      </c>
      <c r="L9" s="538" t="s">
        <v>475</v>
      </c>
      <c r="M9" s="533"/>
      <c r="N9" s="538" t="s">
        <v>447</v>
      </c>
      <c r="O9" s="533"/>
      <c r="P9" s="532" t="s">
        <v>615</v>
      </c>
      <c r="Q9" s="533"/>
      <c r="R9" s="538" t="s">
        <v>448</v>
      </c>
      <c r="S9" s="533"/>
    </row>
    <row r="10" spans="1:23" ht="15.75" thickBot="1" x14ac:dyDescent="0.3">
      <c r="A10" s="215"/>
      <c r="B10" s="74"/>
      <c r="C10" s="219"/>
      <c r="D10" s="219"/>
      <c r="E10" s="219"/>
      <c r="F10" s="219"/>
      <c r="G10" s="219"/>
      <c r="H10" s="219"/>
      <c r="I10" s="219"/>
      <c r="J10" s="219"/>
      <c r="K10" s="219"/>
      <c r="L10" s="333" t="s">
        <v>450</v>
      </c>
      <c r="M10" s="333" t="s">
        <v>451</v>
      </c>
      <c r="N10" s="334" t="s">
        <v>559</v>
      </c>
      <c r="O10" s="333" t="s">
        <v>449</v>
      </c>
      <c r="P10" s="510" t="s">
        <v>611</v>
      </c>
      <c r="Q10" s="510" t="s">
        <v>612</v>
      </c>
      <c r="R10" s="333" t="s">
        <v>450</v>
      </c>
      <c r="S10" s="333" t="s">
        <v>451</v>
      </c>
    </row>
    <row r="11" spans="1:23" x14ac:dyDescent="0.25">
      <c r="A11" s="435" t="s">
        <v>555</v>
      </c>
      <c r="B11" s="78" t="s">
        <v>456</v>
      </c>
      <c r="C11" s="328" t="s">
        <v>478</v>
      </c>
      <c r="D11" s="328" t="s">
        <v>469</v>
      </c>
      <c r="E11" s="92">
        <v>1.615</v>
      </c>
      <c r="F11" s="92">
        <v>2391.4</v>
      </c>
      <c r="G11" s="92">
        <v>2566</v>
      </c>
      <c r="H11" s="92">
        <f>1.29*1000</f>
        <v>1290</v>
      </c>
      <c r="I11" s="92">
        <f>3.1*1000</f>
        <v>3100</v>
      </c>
      <c r="J11" s="326">
        <v>1480.7</v>
      </c>
      <c r="K11" s="341">
        <f>F11/0.86</f>
        <v>2780.6976744186049</v>
      </c>
      <c r="L11" s="326">
        <v>402.9</v>
      </c>
      <c r="M11" s="326">
        <v>591.1</v>
      </c>
      <c r="N11" s="442">
        <f>K11/J11</f>
        <v>1.8779615549527959</v>
      </c>
      <c r="O11" s="343">
        <f>F11/K11</f>
        <v>0.86</v>
      </c>
      <c r="P11" s="511">
        <f t="shared" ref="P11:P13" si="0">$G11/H11</f>
        <v>1.9891472868217055</v>
      </c>
      <c r="Q11" s="511">
        <f t="shared" ref="Q11:Q13" si="1">$G11/I11</f>
        <v>0.82774193548387098</v>
      </c>
      <c r="R11" s="343">
        <f>$G11/L11</f>
        <v>6.3688260114172257</v>
      </c>
      <c r="S11" s="343">
        <f>$G11/M11</f>
        <v>4.3410590424632041</v>
      </c>
      <c r="U11" t="s">
        <v>542</v>
      </c>
    </row>
    <row r="12" spans="1:23" x14ac:dyDescent="0.25">
      <c r="A12" s="435" t="s">
        <v>556</v>
      </c>
      <c r="B12" s="85" t="s">
        <v>547</v>
      </c>
      <c r="C12" s="329" t="s">
        <v>560</v>
      </c>
      <c r="D12" s="329" t="s">
        <v>480</v>
      </c>
      <c r="E12" s="340">
        <v>7.52</v>
      </c>
      <c r="F12" s="340">
        <v>1770.2</v>
      </c>
      <c r="G12" s="340">
        <v>1684.4</v>
      </c>
      <c r="H12" s="340">
        <f>3.5*1000</f>
        <v>3500</v>
      </c>
      <c r="I12" s="340">
        <f>5*1000</f>
        <v>5000</v>
      </c>
      <c r="J12" s="102">
        <v>235.4</v>
      </c>
      <c r="K12" s="342">
        <f>F12/0.33</f>
        <v>5364.242424242424</v>
      </c>
      <c r="L12" s="102" t="s">
        <v>481</v>
      </c>
      <c r="M12" s="102" t="s">
        <v>481</v>
      </c>
      <c r="N12" s="443">
        <f t="shared" ref="N12:N14" si="2">K12/J12</f>
        <v>22.787775803918539</v>
      </c>
      <c r="O12" s="344">
        <f t="shared" ref="O12:O14" si="3">F12/K12</f>
        <v>0.33</v>
      </c>
      <c r="P12" s="512">
        <f t="shared" si="0"/>
        <v>0.48125714285714288</v>
      </c>
      <c r="Q12" s="512">
        <f t="shared" si="1"/>
        <v>0.33688000000000001</v>
      </c>
      <c r="R12" s="344" t="s">
        <v>481</v>
      </c>
      <c r="S12" s="344" t="s">
        <v>481</v>
      </c>
      <c r="U12" t="s">
        <v>456</v>
      </c>
      <c r="W12" t="s">
        <v>548</v>
      </c>
    </row>
    <row r="13" spans="1:23" x14ac:dyDescent="0.25">
      <c r="A13" s="215"/>
      <c r="B13" s="436" t="s">
        <v>543</v>
      </c>
      <c r="C13" s="437" t="s">
        <v>561</v>
      </c>
      <c r="D13" s="437" t="s">
        <v>480</v>
      </c>
      <c r="E13" s="438">
        <v>51.48</v>
      </c>
      <c r="F13" s="438">
        <v>8648.2000000000007</v>
      </c>
      <c r="G13" s="438">
        <v>8671.2000000000007</v>
      </c>
      <c r="H13" s="438">
        <v>6516</v>
      </c>
      <c r="I13" s="438">
        <v>9165</v>
      </c>
      <c r="J13" s="439">
        <v>228.2</v>
      </c>
      <c r="K13" s="440">
        <f>F13/0.8</f>
        <v>10810.25</v>
      </c>
      <c r="L13" s="439">
        <v>432.8</v>
      </c>
      <c r="M13" s="439">
        <v>595.20000000000005</v>
      </c>
      <c r="N13" s="444">
        <f t="shared" si="2"/>
        <v>47.371822962313765</v>
      </c>
      <c r="O13" s="441">
        <f t="shared" si="3"/>
        <v>0.8</v>
      </c>
      <c r="P13" s="513">
        <f t="shared" si="0"/>
        <v>1.3307550644567221</v>
      </c>
      <c r="Q13" s="513">
        <f t="shared" si="1"/>
        <v>0.94612111292962364</v>
      </c>
      <c r="R13" s="441">
        <f t="shared" ref="R13:R14" si="4">$G13/L13</f>
        <v>20.035120147874309</v>
      </c>
      <c r="S13" s="441">
        <f t="shared" ref="S13:S14" si="5">$G13/M13</f>
        <v>14.568548387096774</v>
      </c>
      <c r="U13" t="s">
        <v>543</v>
      </c>
      <c r="W13" t="s">
        <v>549</v>
      </c>
    </row>
    <row r="14" spans="1:23" x14ac:dyDescent="0.25">
      <c r="A14" s="435" t="s">
        <v>557</v>
      </c>
      <c r="B14" s="85" t="s">
        <v>544</v>
      </c>
      <c r="C14" s="329" t="s">
        <v>562</v>
      </c>
      <c r="D14" s="329" t="s">
        <v>480</v>
      </c>
      <c r="E14" s="340">
        <v>112.18</v>
      </c>
      <c r="F14" s="340">
        <v>27098.3</v>
      </c>
      <c r="G14" s="340">
        <v>19339.7</v>
      </c>
      <c r="H14" s="340">
        <v>5845</v>
      </c>
      <c r="I14" s="340">
        <v>7480</v>
      </c>
      <c r="J14" s="102">
        <v>241.7</v>
      </c>
      <c r="K14" s="342">
        <f>F14/1.1</f>
        <v>24634.81818181818</v>
      </c>
      <c r="L14" s="102">
        <v>1792.5</v>
      </c>
      <c r="M14" s="102">
        <v>1868.7</v>
      </c>
      <c r="N14" s="443">
        <f t="shared" si="2"/>
        <v>101.92312032196186</v>
      </c>
      <c r="O14" s="344">
        <f t="shared" si="3"/>
        <v>1.1000000000000001</v>
      </c>
      <c r="P14" s="534" t="s">
        <v>616</v>
      </c>
      <c r="Q14" s="535"/>
      <c r="R14" s="344">
        <f t="shared" si="4"/>
        <v>10.789232914923291</v>
      </c>
      <c r="S14" s="344">
        <f t="shared" si="5"/>
        <v>10.349280248300959</v>
      </c>
    </row>
    <row r="15" spans="1:23" x14ac:dyDescent="0.25">
      <c r="A15" s="435" t="s">
        <v>558</v>
      </c>
      <c r="B15" s="78" t="s">
        <v>545</v>
      </c>
      <c r="C15" s="328" t="s">
        <v>563</v>
      </c>
      <c r="D15" s="328" t="s">
        <v>480</v>
      </c>
      <c r="E15" s="92">
        <v>27.67</v>
      </c>
      <c r="F15" s="92">
        <v>4967.7</v>
      </c>
      <c r="G15" s="92">
        <v>4842</v>
      </c>
      <c r="H15" s="92">
        <f>1.69*1000</f>
        <v>1690</v>
      </c>
      <c r="I15" s="92">
        <f>2600</f>
        <v>2600</v>
      </c>
      <c r="J15" s="326">
        <v>243.9</v>
      </c>
      <c r="K15" s="341">
        <f>F15/0.56</f>
        <v>8870.8928571428551</v>
      </c>
      <c r="L15" s="326">
        <v>664.7</v>
      </c>
      <c r="M15" s="326">
        <v>994</v>
      </c>
      <c r="N15" s="442">
        <f>K15/J15</f>
        <v>36.371024424529949</v>
      </c>
      <c r="O15" s="343">
        <f>F15/K15</f>
        <v>0.56000000000000016</v>
      </c>
      <c r="P15" s="536"/>
      <c r="Q15" s="536"/>
      <c r="R15" s="343">
        <f>$G15/L15</f>
        <v>7.2844892432676387</v>
      </c>
      <c r="S15" s="343">
        <f>$G15/M15</f>
        <v>4.8712273641851107</v>
      </c>
    </row>
    <row r="16" spans="1:23" x14ac:dyDescent="0.25">
      <c r="A16" s="215"/>
      <c r="B16" s="85" t="s">
        <v>546</v>
      </c>
      <c r="C16" s="329" t="s">
        <v>564</v>
      </c>
      <c r="D16" s="329" t="s">
        <v>480</v>
      </c>
      <c r="E16" s="340">
        <v>23.42</v>
      </c>
      <c r="F16" s="340">
        <v>3521.9</v>
      </c>
      <c r="G16" s="340">
        <v>3237.2</v>
      </c>
      <c r="H16" s="340">
        <v>1188</v>
      </c>
      <c r="I16" s="340">
        <f>H16+386</f>
        <v>1574</v>
      </c>
      <c r="J16" s="102">
        <v>150.4</v>
      </c>
      <c r="K16" s="342">
        <f>F16/1.12</f>
        <v>3144.5535714285711</v>
      </c>
      <c r="L16" s="102">
        <v>601</v>
      </c>
      <c r="M16" s="102">
        <v>936</v>
      </c>
      <c r="N16" s="443">
        <f>K16/J16</f>
        <v>20.90793598024316</v>
      </c>
      <c r="O16" s="344">
        <f>F16/K16</f>
        <v>1.1200000000000001</v>
      </c>
      <c r="P16" s="536"/>
      <c r="Q16" s="536"/>
      <c r="R16" s="344">
        <f>$G16/L16</f>
        <v>5.3863560732113145</v>
      </c>
      <c r="S16" s="344">
        <f>$G16/M16</f>
        <v>3.4585470085470083</v>
      </c>
      <c r="U16" t="s">
        <v>544</v>
      </c>
      <c r="W16" t="s">
        <v>550</v>
      </c>
    </row>
    <row r="17" spans="1:23" x14ac:dyDescent="0.25">
      <c r="A17" s="215"/>
      <c r="B17" s="325"/>
      <c r="C17" s="325"/>
      <c r="E17" s="432"/>
      <c r="F17" s="432"/>
      <c r="G17" s="432"/>
      <c r="H17" s="432"/>
      <c r="I17" s="432"/>
      <c r="J17" s="325"/>
      <c r="K17" s="325"/>
      <c r="L17" s="325"/>
      <c r="M17" s="325"/>
      <c r="N17" s="432"/>
      <c r="O17" s="345"/>
      <c r="P17" s="514"/>
      <c r="Q17" s="514"/>
      <c r="R17" s="345"/>
      <c r="S17" s="345"/>
      <c r="U17" t="s">
        <v>545</v>
      </c>
      <c r="W17" t="s">
        <v>551</v>
      </c>
    </row>
    <row r="18" spans="1:23" x14ac:dyDescent="0.25">
      <c r="A18" s="215"/>
      <c r="B18" s="119" t="s">
        <v>452</v>
      </c>
      <c r="C18" s="348" t="s">
        <v>479</v>
      </c>
      <c r="D18" s="348" t="s">
        <v>480</v>
      </c>
      <c r="E18" s="431">
        <f>C6</f>
        <v>43.100200000000008</v>
      </c>
      <c r="F18" s="433">
        <f>E18*J18</f>
        <v>5228.0542600000008</v>
      </c>
      <c r="G18" s="433">
        <f>F18+'NAV Model'!C33*'NAV Model'!$C$24</f>
        <v>5181.5542600000008</v>
      </c>
      <c r="H18" s="431">
        <f>'Reserve &amp; Resource'!F16</f>
        <v>4569</v>
      </c>
      <c r="I18" s="431">
        <f>'Reserve &amp; Resource'!F7</f>
        <v>5545</v>
      </c>
      <c r="J18" s="429">
        <f>'NAV Model'!C32</f>
        <v>121.3</v>
      </c>
      <c r="K18" s="430">
        <f>'Cover Page'!G12*'NAV Model'!$C$24</f>
        <v>8746.0009676175978</v>
      </c>
      <c r="L18" s="349" t="s">
        <v>481</v>
      </c>
      <c r="M18" s="330">
        <v>687.9</v>
      </c>
      <c r="N18" s="445">
        <f t="shared" ref="N18" si="6">K18/J18</f>
        <v>72.102233863294302</v>
      </c>
      <c r="O18" s="346">
        <f t="shared" ref="O18" si="7">F18/K18</f>
        <v>0.59776511337662452</v>
      </c>
      <c r="P18" s="515">
        <f>$G18/H18</f>
        <v>1.1340674677172249</v>
      </c>
      <c r="Q18" s="515">
        <f>$G18/I18</f>
        <v>0.93445523174030676</v>
      </c>
      <c r="R18" s="350" t="s">
        <v>481</v>
      </c>
      <c r="S18" s="351">
        <f t="shared" ref="S18" si="8">$G18/M18</f>
        <v>7.5324236953045514</v>
      </c>
      <c r="U18" t="s">
        <v>546</v>
      </c>
      <c r="W18" t="s">
        <v>552</v>
      </c>
    </row>
    <row r="19" spans="1:23" x14ac:dyDescent="0.25">
      <c r="A19" s="215"/>
      <c r="B19" s="56" t="s">
        <v>457</v>
      </c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446"/>
      <c r="O19" s="347"/>
      <c r="P19" s="516"/>
      <c r="Q19" s="516"/>
      <c r="R19" s="347"/>
      <c r="S19" s="347"/>
      <c r="U19" t="s">
        <v>547</v>
      </c>
      <c r="W19" t="s">
        <v>548</v>
      </c>
    </row>
    <row r="20" spans="1:23" x14ac:dyDescent="0.25">
      <c r="A20" s="215"/>
      <c r="B20" s="78" t="s">
        <v>453</v>
      </c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447"/>
      <c r="O20" s="343">
        <f>AVERAGE(O11:O16)</f>
        <v>0.79499999999999993</v>
      </c>
      <c r="P20" s="511">
        <f>AVERAGE(P11:P16)</f>
        <v>1.2670531647118568</v>
      </c>
      <c r="Q20" s="511">
        <f t="shared" ref="Q20" si="9">AVERAGE(Q11:Q16)</f>
        <v>0.70358101613783164</v>
      </c>
      <c r="R20" s="343">
        <f t="shared" ref="R20:S20" si="10">AVERAGE(R11:R16)</f>
        <v>9.9728048781387564</v>
      </c>
      <c r="S20" s="343">
        <f t="shared" si="10"/>
        <v>7.5177324101186098</v>
      </c>
    </row>
    <row r="21" spans="1:23" s="370" customFormat="1" x14ac:dyDescent="0.25">
      <c r="A21" s="366"/>
      <c r="B21" s="367" t="s">
        <v>454</v>
      </c>
      <c r="C21" s="368"/>
      <c r="D21" s="368"/>
      <c r="E21" s="368"/>
      <c r="F21" s="368"/>
      <c r="G21" s="368"/>
      <c r="H21" s="368"/>
      <c r="I21" s="368"/>
      <c r="J21" s="368"/>
      <c r="K21" s="368"/>
      <c r="L21" s="368"/>
      <c r="M21" s="368"/>
      <c r="N21" s="448"/>
      <c r="O21" s="372">
        <f>MEDIAN(O11:O16)</f>
        <v>0.83000000000000007</v>
      </c>
      <c r="P21" s="517">
        <f>MEDIAN(P11:P16)</f>
        <v>1.3307550644567221</v>
      </c>
      <c r="Q21" s="517">
        <f t="shared" ref="Q21" si="11">MEDIAN(Q11:Q16)</f>
        <v>0.82774193548387098</v>
      </c>
      <c r="R21" s="372">
        <f t="shared" ref="R21:S21" si="12">MEDIAN(R11:R16)</f>
        <v>7.2844892432676387</v>
      </c>
      <c r="S21" s="372">
        <f t="shared" si="12"/>
        <v>4.8712273641851107</v>
      </c>
    </row>
    <row r="22" spans="1:23" x14ac:dyDescent="0.25">
      <c r="A22" s="215"/>
      <c r="B22" s="78" t="s">
        <v>458</v>
      </c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447"/>
      <c r="O22" s="343">
        <f>MAX(O11:O16)</f>
        <v>1.1200000000000001</v>
      </c>
      <c r="P22" s="511">
        <f t="shared" ref="P22:Q22" si="13">MAX(P11:P16)</f>
        <v>1.9891472868217055</v>
      </c>
      <c r="Q22" s="511">
        <f t="shared" si="13"/>
        <v>0.94612111292962364</v>
      </c>
      <c r="R22" s="343">
        <f t="shared" ref="R22:S22" si="14">MAX(R11:R16)</f>
        <v>20.035120147874309</v>
      </c>
      <c r="S22" s="343">
        <f t="shared" si="14"/>
        <v>14.568548387096774</v>
      </c>
    </row>
    <row r="23" spans="1:23" x14ac:dyDescent="0.25">
      <c r="A23" s="215"/>
      <c r="B23" s="85" t="s">
        <v>455</v>
      </c>
      <c r="C23" s="329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449"/>
      <c r="O23" s="344">
        <f>MIN(O11:O16)</f>
        <v>0.33</v>
      </c>
      <c r="P23" s="512">
        <f t="shared" ref="P23:Q23" si="15">MIN(P11:P16)</f>
        <v>0.48125714285714288</v>
      </c>
      <c r="Q23" s="512">
        <f t="shared" si="15"/>
        <v>0.33688000000000001</v>
      </c>
      <c r="R23" s="344">
        <f t="shared" ref="R23:S23" si="16">MIN(R11:R16)</f>
        <v>5.3863560732113145</v>
      </c>
      <c r="S23" s="344">
        <f t="shared" si="16"/>
        <v>3.4585470085470083</v>
      </c>
    </row>
    <row r="24" spans="1:23" x14ac:dyDescent="0.25">
      <c r="A24" s="215"/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45"/>
      <c r="O24" s="345"/>
      <c r="P24" s="514"/>
      <c r="Q24" s="514"/>
      <c r="R24" s="345"/>
      <c r="S24" s="345"/>
    </row>
    <row r="25" spans="1:23" x14ac:dyDescent="0.25">
      <c r="A25" s="215"/>
      <c r="B25" s="56" t="s">
        <v>539</v>
      </c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  <c r="N25" s="347"/>
      <c r="O25" s="347"/>
      <c r="P25" s="516"/>
      <c r="Q25" s="516"/>
      <c r="R25" s="347"/>
      <c r="S25" s="347"/>
    </row>
    <row r="26" spans="1:23" x14ac:dyDescent="0.25">
      <c r="A26" s="215"/>
      <c r="B26" s="78" t="s">
        <v>453</v>
      </c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53"/>
      <c r="O26" s="361">
        <f>O20*$K$18/$J$18</f>
        <v>57.321275921318964</v>
      </c>
      <c r="P26" s="361">
        <f>(P20*$H$18-($G$18-$F$18))/$J$18</f>
        <v>48.109364464702999</v>
      </c>
      <c r="Q26" s="361">
        <f>(Q20*$I$18-($G$18-$F$18))/$J$18</f>
        <v>32.54622204851011</v>
      </c>
      <c r="R26" s="361" t="s">
        <v>481</v>
      </c>
      <c r="S26" s="361">
        <f>(S20*$M$18-($G$18-$F$18))/$J$18</f>
        <v>43.01688478912277</v>
      </c>
    </row>
    <row r="27" spans="1:23" s="370" customFormat="1" x14ac:dyDescent="0.25">
      <c r="A27" s="366"/>
      <c r="B27" s="367" t="s">
        <v>454</v>
      </c>
      <c r="C27" s="368"/>
      <c r="D27" s="368"/>
      <c r="E27" s="368"/>
      <c r="F27" s="368"/>
      <c r="G27" s="368"/>
      <c r="H27" s="368"/>
      <c r="I27" s="368"/>
      <c r="J27" s="368"/>
      <c r="K27" s="368"/>
      <c r="L27" s="368"/>
      <c r="M27" s="368"/>
      <c r="N27" s="369"/>
      <c r="O27" s="369">
        <f>O21*$K$18/$J$18</f>
        <v>59.844854106534264</v>
      </c>
      <c r="P27" s="369">
        <f>(P21*$H$18-($G$18-$F$18))/$J$18</f>
        <v>50.508820193757323</v>
      </c>
      <c r="Q27" s="369">
        <f>(Q21*$I$18-($G$18-$F$18))/$J$18</f>
        <v>38.222003563545464</v>
      </c>
      <c r="R27" s="369" t="s">
        <v>481</v>
      </c>
      <c r="S27" s="369">
        <f t="shared" ref="S27:S29" si="17">(S21*$M$18-($G$18-$F$18))/$J$18</f>
        <v>28.008386676198988</v>
      </c>
    </row>
    <row r="28" spans="1:23" x14ac:dyDescent="0.25">
      <c r="A28" s="215"/>
      <c r="B28" s="78" t="s">
        <v>458</v>
      </c>
      <c r="C28" s="328"/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53"/>
      <c r="O28" s="361">
        <f t="shared" ref="O28:O29" si="18">O22*$K$18/$J$18</f>
        <v>80.754501926889617</v>
      </c>
      <c r="P28" s="361">
        <f>(P22*$H$18-($G$18-$F$18))/$J$18</f>
        <v>75.308441496194334</v>
      </c>
      <c r="Q28" s="361">
        <f>(Q22*$I$18-($G$18-$F$18))/$J$18</f>
        <v>43.633483686683952</v>
      </c>
      <c r="R28" s="361" t="s">
        <v>481</v>
      </c>
      <c r="S28" s="361">
        <f t="shared" si="17"/>
        <v>83.002509773156405</v>
      </c>
    </row>
    <row r="29" spans="1:23" x14ac:dyDescent="0.25">
      <c r="A29" s="215"/>
      <c r="B29" s="85" t="s">
        <v>455</v>
      </c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54"/>
      <c r="O29" s="362">
        <f t="shared" si="18"/>
        <v>23.79373717488712</v>
      </c>
      <c r="P29" s="362">
        <f>(P23*$H$18-($G$18-$F$18))/$J$18</f>
        <v>18.510831704157347</v>
      </c>
      <c r="Q29" s="362">
        <f>(Q23*$I$18-($G$18-$F$18))/$J$18</f>
        <v>15.783178895300908</v>
      </c>
      <c r="R29" s="362" t="s">
        <v>481</v>
      </c>
      <c r="S29" s="362">
        <f t="shared" si="17"/>
        <v>19.996986703870459</v>
      </c>
    </row>
    <row r="30" spans="1:23" x14ac:dyDescent="0.25">
      <c r="N30" s="352"/>
      <c r="O30" s="352"/>
      <c r="P30" s="518"/>
      <c r="Q30" s="518"/>
      <c r="R30" s="352"/>
      <c r="S30" s="352"/>
    </row>
    <row r="31" spans="1:23" x14ac:dyDescent="0.25">
      <c r="A31" s="360" t="s">
        <v>395</v>
      </c>
      <c r="B31" s="355" t="s">
        <v>482</v>
      </c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47"/>
      <c r="O31" s="363"/>
      <c r="P31" s="519"/>
      <c r="Q31" s="519"/>
      <c r="R31" s="363"/>
      <c r="S31" s="363"/>
    </row>
    <row r="32" spans="1:23" x14ac:dyDescent="0.25">
      <c r="A32" s="215"/>
      <c r="B32" s="78" t="s">
        <v>453</v>
      </c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53"/>
      <c r="O32" s="364">
        <f t="shared" ref="O32:Q35" si="19">O26/$C$6-1</f>
        <v>0.32995382669497952</v>
      </c>
      <c r="P32" s="364">
        <f t="shared" si="19"/>
        <v>0.11622137402385579</v>
      </c>
      <c r="Q32" s="364">
        <f t="shared" si="19"/>
        <v>-0.24487074193367775</v>
      </c>
      <c r="R32" s="361" t="s">
        <v>481</v>
      </c>
      <c r="S32" s="364">
        <f>S26/$C$6-1</f>
        <v>-1.9330585676455847E-3</v>
      </c>
    </row>
    <row r="33" spans="1:19" s="370" customFormat="1" x14ac:dyDescent="0.25">
      <c r="A33" s="366"/>
      <c r="B33" s="367" t="s">
        <v>454</v>
      </c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9"/>
      <c r="O33" s="371">
        <f t="shared" si="19"/>
        <v>0.38850525302746286</v>
      </c>
      <c r="P33" s="371">
        <f t="shared" si="19"/>
        <v>0.17189294234730501</v>
      </c>
      <c r="Q33" s="371">
        <f t="shared" si="19"/>
        <v>-0.11318268677302068</v>
      </c>
      <c r="R33" s="369" t="s">
        <v>481</v>
      </c>
      <c r="S33" s="371">
        <f>S27/$C$6-1</f>
        <v>-0.35015645690277575</v>
      </c>
    </row>
    <row r="34" spans="1:19" x14ac:dyDescent="0.25">
      <c r="A34" s="215"/>
      <c r="B34" s="78" t="s">
        <v>458</v>
      </c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53"/>
      <c r="O34" s="364">
        <f t="shared" si="19"/>
        <v>0.87364564263946809</v>
      </c>
      <c r="P34" s="364">
        <f t="shared" si="19"/>
        <v>0.74728751829908724</v>
      </c>
      <c r="Q34" s="364">
        <f t="shared" si="19"/>
        <v>1.2373113968936256E-2</v>
      </c>
      <c r="R34" s="361" t="s">
        <v>481</v>
      </c>
      <c r="S34" s="364">
        <f>S28/$C$6-1</f>
        <v>0.925803355278082</v>
      </c>
    </row>
    <row r="35" spans="1:19" x14ac:dyDescent="0.25">
      <c r="A35" s="215"/>
      <c r="B35" s="85" t="s">
        <v>455</v>
      </c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54"/>
      <c r="O35" s="365">
        <f t="shared" si="19"/>
        <v>-0.44794369457944239</v>
      </c>
      <c r="P35" s="365">
        <f t="shared" si="19"/>
        <v>-0.57051633857482464</v>
      </c>
      <c r="Q35" s="365">
        <f t="shared" si="19"/>
        <v>-0.63380265299694882</v>
      </c>
      <c r="R35" s="362" t="s">
        <v>481</v>
      </c>
      <c r="S35" s="365">
        <f>S29/$C$6-1</f>
        <v>-0.53603494406359009</v>
      </c>
    </row>
    <row r="37" spans="1:19" x14ac:dyDescent="0.25">
      <c r="B37" s="434" t="s">
        <v>554</v>
      </c>
      <c r="N37" s="352"/>
      <c r="O37" s="352"/>
      <c r="P37" s="352"/>
      <c r="Q37" s="352"/>
      <c r="R37" s="352"/>
      <c r="S37" s="352"/>
    </row>
    <row r="38" spans="1:19" x14ac:dyDescent="0.25">
      <c r="N38" s="352"/>
      <c r="O38" s="352"/>
      <c r="P38" s="352"/>
      <c r="Q38" s="352"/>
      <c r="R38" s="352"/>
      <c r="S38" s="352"/>
    </row>
    <row r="39" spans="1:19" x14ac:dyDescent="0.25">
      <c r="N39" s="352"/>
      <c r="O39" s="352"/>
      <c r="P39" s="352"/>
      <c r="Q39" s="352"/>
      <c r="R39" s="352"/>
      <c r="S39" s="352"/>
    </row>
    <row r="40" spans="1:19" x14ac:dyDescent="0.25">
      <c r="N40" s="352"/>
      <c r="O40" s="352"/>
      <c r="P40" s="352"/>
      <c r="Q40" s="352"/>
      <c r="R40" s="352"/>
      <c r="S40" s="352"/>
    </row>
    <row r="41" spans="1:19" x14ac:dyDescent="0.25">
      <c r="G41" t="s">
        <v>460</v>
      </c>
      <c r="N41" s="352"/>
      <c r="O41" s="352"/>
      <c r="P41" s="352"/>
      <c r="Q41" s="352"/>
      <c r="R41" s="352"/>
      <c r="S41" s="352"/>
    </row>
    <row r="42" spans="1:19" x14ac:dyDescent="0.25">
      <c r="G42" s="418" t="s">
        <v>459</v>
      </c>
      <c r="H42" s="418"/>
      <c r="I42" s="418"/>
      <c r="N42" s="352"/>
      <c r="O42" s="352"/>
      <c r="P42" s="352"/>
      <c r="Q42" s="352"/>
      <c r="R42" s="352"/>
      <c r="S42" s="352"/>
    </row>
    <row r="43" spans="1:19" x14ac:dyDescent="0.25">
      <c r="N43" s="352"/>
      <c r="O43" s="352"/>
      <c r="P43" s="352"/>
      <c r="Q43" s="352"/>
      <c r="R43" s="352"/>
      <c r="S43" s="352"/>
    </row>
    <row r="44" spans="1:19" x14ac:dyDescent="0.25">
      <c r="N44" s="352"/>
      <c r="O44" s="352"/>
      <c r="P44" s="352"/>
      <c r="Q44" s="352"/>
      <c r="R44" s="352"/>
      <c r="S44" s="352"/>
    </row>
    <row r="45" spans="1:19" x14ac:dyDescent="0.25">
      <c r="N45" s="352"/>
      <c r="O45" s="352"/>
      <c r="P45" s="352"/>
      <c r="Q45" s="352"/>
      <c r="R45" s="352"/>
      <c r="S45" s="352"/>
    </row>
    <row r="46" spans="1:19" x14ac:dyDescent="0.25">
      <c r="N46" s="352"/>
      <c r="O46" s="352"/>
      <c r="P46" s="352"/>
      <c r="Q46" s="352"/>
      <c r="R46" s="352"/>
      <c r="S46" s="352"/>
    </row>
    <row r="47" spans="1:19" x14ac:dyDescent="0.25">
      <c r="N47" s="352"/>
      <c r="O47" s="352"/>
      <c r="P47" s="352"/>
      <c r="Q47" s="352"/>
      <c r="R47" s="352"/>
      <c r="S47" s="352"/>
    </row>
    <row r="48" spans="1:19" x14ac:dyDescent="0.25">
      <c r="N48" s="352"/>
      <c r="O48" s="352"/>
      <c r="P48" s="352"/>
      <c r="Q48" s="352"/>
      <c r="R48" s="352"/>
      <c r="S48" s="352"/>
    </row>
    <row r="49" spans="14:19" x14ac:dyDescent="0.25">
      <c r="N49" s="352"/>
      <c r="O49" s="352"/>
      <c r="P49" s="352"/>
      <c r="Q49" s="352"/>
      <c r="R49" s="352"/>
      <c r="S49" s="352"/>
    </row>
  </sheetData>
  <mergeCells count="7">
    <mergeCell ref="B8:G8"/>
    <mergeCell ref="P9:Q9"/>
    <mergeCell ref="P14:Q16"/>
    <mergeCell ref="N8:S8"/>
    <mergeCell ref="N9:O9"/>
    <mergeCell ref="R9:S9"/>
    <mergeCell ref="L9:M9"/>
  </mergeCells>
  <hyperlinks>
    <hyperlink ref="G42" r:id="rId1" xr:uid="{A6B8A57F-5AE1-420A-AC51-52FB320DC722}"/>
  </hyperlinks>
  <pageMargins left="0.7" right="0.7" top="0.75" bottom="0.75" header="0.3" footer="0.3"/>
  <pageSetup orientation="portrait" verticalDpi="0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984A-694F-490C-98BC-785C10E6E564}">
  <sheetPr>
    <tabColor rgb="FFC6A54A"/>
  </sheetPr>
  <dimension ref="A1:J46"/>
  <sheetViews>
    <sheetView showGridLines="0" topLeftCell="A6" zoomScale="131" zoomScaleNormal="85" workbookViewId="0">
      <selection activeCell="L14" sqref="L14"/>
    </sheetView>
  </sheetViews>
  <sheetFormatPr defaultRowHeight="15" x14ac:dyDescent="0.25"/>
  <cols>
    <col min="1" max="1" width="2.85546875" customWidth="1"/>
    <col min="2" max="3" width="24.7109375" customWidth="1"/>
    <col min="4" max="5" width="14.28515625" customWidth="1"/>
    <col min="6" max="6" width="17.140625" customWidth="1"/>
    <col min="7" max="7" width="18.5703125" bestFit="1" customWidth="1"/>
    <col min="8" max="8" width="17.140625" customWidth="1"/>
    <col min="9" max="9" width="22.85546875" style="1" bestFit="1" customWidth="1"/>
    <col min="10" max="10" width="17.140625" customWidth="1"/>
  </cols>
  <sheetData>
    <row r="1" spans="1:10" x14ac:dyDescent="0.25">
      <c r="A1" s="215"/>
      <c r="B1" s="215"/>
      <c r="C1" s="215"/>
      <c r="D1" s="215"/>
      <c r="E1" s="215"/>
      <c r="F1" s="215"/>
      <c r="G1" s="215"/>
      <c r="H1" s="215"/>
      <c r="I1" s="373"/>
      <c r="J1" s="215"/>
    </row>
    <row r="2" spans="1:10" ht="15.75" x14ac:dyDescent="0.25">
      <c r="A2" s="215"/>
      <c r="B2" s="323" t="s">
        <v>484</v>
      </c>
      <c r="C2" s="323"/>
    </row>
    <row r="3" spans="1:10" ht="15.75" x14ac:dyDescent="0.25">
      <c r="A3" s="215"/>
      <c r="B3" s="323"/>
      <c r="C3" s="323"/>
    </row>
    <row r="4" spans="1:10" x14ac:dyDescent="0.25">
      <c r="A4" s="215"/>
      <c r="B4" s="56" t="s">
        <v>471</v>
      </c>
      <c r="C4" s="56"/>
      <c r="D4" s="337"/>
      <c r="E4" s="337"/>
      <c r="G4" s="215"/>
      <c r="H4" s="215"/>
      <c r="I4" s="373"/>
      <c r="J4" s="215"/>
    </row>
    <row r="5" spans="1:10" x14ac:dyDescent="0.25">
      <c r="A5" s="215"/>
      <c r="B5" s="338" t="s">
        <v>485</v>
      </c>
      <c r="C5" s="338"/>
      <c r="D5" s="359">
        <v>46088</v>
      </c>
      <c r="E5" s="336" t="s">
        <v>472</v>
      </c>
      <c r="G5" s="215"/>
      <c r="H5" s="215"/>
      <c r="I5" s="373"/>
      <c r="J5" s="215"/>
    </row>
    <row r="6" spans="1:10" x14ac:dyDescent="0.25">
      <c r="A6" s="215"/>
      <c r="B6" s="356" t="s">
        <v>483</v>
      </c>
      <c r="C6" s="356"/>
      <c r="D6" s="358">
        <f>'NAV Model'!C8*'NAV Model'!$C$24</f>
        <v>43.100200000000008</v>
      </c>
      <c r="G6" s="215"/>
      <c r="H6" s="215"/>
      <c r="I6" s="373"/>
      <c r="J6" s="215"/>
    </row>
    <row r="7" spans="1:10" x14ac:dyDescent="0.25">
      <c r="A7" s="215"/>
      <c r="B7" s="356"/>
      <c r="C7" s="356"/>
      <c r="G7" s="215"/>
      <c r="H7" s="215"/>
      <c r="I7" s="373"/>
      <c r="J7" s="215"/>
    </row>
    <row r="8" spans="1:10" x14ac:dyDescent="0.25">
      <c r="A8" s="215"/>
      <c r="B8" s="531" t="s">
        <v>74</v>
      </c>
      <c r="C8" s="531"/>
      <c r="D8" s="531"/>
      <c r="E8" s="531"/>
      <c r="F8" s="531"/>
      <c r="G8" s="531"/>
      <c r="H8" s="531"/>
      <c r="I8" s="539" t="s">
        <v>446</v>
      </c>
      <c r="J8" s="539"/>
    </row>
    <row r="9" spans="1:10" x14ac:dyDescent="0.25">
      <c r="A9" s="215"/>
      <c r="B9" s="387" t="s">
        <v>492</v>
      </c>
      <c r="C9" s="387" t="s">
        <v>493</v>
      </c>
      <c r="D9" s="332" t="s">
        <v>488</v>
      </c>
      <c r="E9" s="332" t="s">
        <v>445</v>
      </c>
      <c r="F9" s="332" t="s">
        <v>473</v>
      </c>
      <c r="G9" s="332" t="s">
        <v>477</v>
      </c>
      <c r="H9" s="332" t="s">
        <v>476</v>
      </c>
      <c r="I9" s="374" t="s">
        <v>490</v>
      </c>
      <c r="J9" s="332" t="s">
        <v>449</v>
      </c>
    </row>
    <row r="10" spans="1:10" x14ac:dyDescent="0.25">
      <c r="A10" s="215"/>
      <c r="B10" s="78" t="s">
        <v>486</v>
      </c>
      <c r="C10" s="78" t="s">
        <v>494</v>
      </c>
      <c r="D10" s="382" t="s">
        <v>491</v>
      </c>
      <c r="E10" s="328" t="s">
        <v>469</v>
      </c>
      <c r="F10" s="92">
        <v>5.58</v>
      </c>
      <c r="G10" s="92">
        <v>7525</v>
      </c>
      <c r="H10" s="92">
        <v>6852.6</v>
      </c>
      <c r="I10" s="375">
        <v>0.14000000000000001</v>
      </c>
      <c r="J10" s="343">
        <v>1.1000000000000001</v>
      </c>
    </row>
    <row r="11" spans="1:10" x14ac:dyDescent="0.25">
      <c r="A11" s="215"/>
      <c r="B11" s="85" t="s">
        <v>487</v>
      </c>
      <c r="C11" s="389" t="s">
        <v>494</v>
      </c>
      <c r="D11" s="383">
        <v>45590</v>
      </c>
      <c r="E11" s="329" t="s">
        <v>480</v>
      </c>
      <c r="F11" s="340">
        <v>6.73</v>
      </c>
      <c r="G11" s="340">
        <v>7687.9</v>
      </c>
      <c r="H11" s="340">
        <v>7649.2</v>
      </c>
      <c r="I11" s="376">
        <v>0.55000000000000004</v>
      </c>
      <c r="J11" s="344">
        <v>0.96</v>
      </c>
    </row>
    <row r="12" spans="1:10" x14ac:dyDescent="0.25">
      <c r="A12" s="215"/>
      <c r="B12" s="85" t="s">
        <v>489</v>
      </c>
      <c r="C12" s="389" t="s">
        <v>495</v>
      </c>
      <c r="D12" s="383">
        <v>45782</v>
      </c>
      <c r="E12" s="329" t="s">
        <v>469</v>
      </c>
      <c r="F12" s="340">
        <v>8.48</v>
      </c>
      <c r="G12" s="340">
        <v>6421.5</v>
      </c>
      <c r="H12" s="340">
        <v>5662.8</v>
      </c>
      <c r="I12" s="376">
        <v>0.41</v>
      </c>
      <c r="J12" s="344">
        <v>1.1000000000000001</v>
      </c>
    </row>
    <row r="13" spans="1:10" x14ac:dyDescent="0.25">
      <c r="A13" s="215"/>
      <c r="B13" s="388" t="s">
        <v>496</v>
      </c>
      <c r="C13" s="388" t="s">
        <v>497</v>
      </c>
      <c r="D13" s="384">
        <v>44629</v>
      </c>
      <c r="E13" s="328" t="s">
        <v>469</v>
      </c>
      <c r="F13" s="92">
        <v>1.615</v>
      </c>
      <c r="G13" s="92">
        <v>2391.4</v>
      </c>
      <c r="H13" s="92">
        <v>2566</v>
      </c>
      <c r="I13" s="375">
        <v>0.24</v>
      </c>
      <c r="J13" s="343">
        <v>1.5</v>
      </c>
    </row>
    <row r="14" spans="1:10" x14ac:dyDescent="0.25">
      <c r="A14" s="215"/>
      <c r="B14" s="325"/>
      <c r="C14" s="325"/>
      <c r="D14" s="385"/>
      <c r="F14" s="432"/>
      <c r="G14" s="432"/>
      <c r="H14" s="432"/>
      <c r="I14" s="377"/>
      <c r="J14" s="345"/>
    </row>
    <row r="15" spans="1:10" x14ac:dyDescent="0.25">
      <c r="A15" s="215"/>
      <c r="B15" s="119" t="s">
        <v>452</v>
      </c>
      <c r="C15" s="119"/>
      <c r="D15" s="386"/>
      <c r="E15" s="348" t="s">
        <v>480</v>
      </c>
      <c r="F15" s="431">
        <f>Comps!E18</f>
        <v>43.100200000000008</v>
      </c>
      <c r="G15" s="431">
        <f>Comps!F18</f>
        <v>5228.0542600000008</v>
      </c>
      <c r="H15" s="431">
        <f>Comps!G18</f>
        <v>5181.5542600000008</v>
      </c>
      <c r="I15" s="378" t="s">
        <v>481</v>
      </c>
      <c r="J15" s="346">
        <f>G15/('Cover Page'!G12*'NAV Model'!$C$24)</f>
        <v>0.59776511337662452</v>
      </c>
    </row>
    <row r="16" spans="1:10" x14ac:dyDescent="0.25">
      <c r="A16" s="215"/>
      <c r="B16" s="56" t="s">
        <v>457</v>
      </c>
      <c r="C16" s="56"/>
      <c r="D16" s="327"/>
      <c r="E16" s="327"/>
      <c r="F16" s="327"/>
      <c r="G16" s="327"/>
      <c r="H16" s="327"/>
      <c r="I16" s="379"/>
      <c r="J16" s="347"/>
    </row>
    <row r="17" spans="1:10" x14ac:dyDescent="0.25">
      <c r="A17" s="215"/>
      <c r="B17" s="78" t="s">
        <v>453</v>
      </c>
      <c r="C17" s="78"/>
      <c r="D17" s="328"/>
      <c r="E17" s="328"/>
      <c r="F17" s="328"/>
      <c r="G17" s="328"/>
      <c r="H17" s="328"/>
      <c r="I17" s="380">
        <f>AVERAGE(I10:I13)</f>
        <v>0.33500000000000002</v>
      </c>
      <c r="J17" s="343">
        <f>AVERAGE(J10:J13)</f>
        <v>1.165</v>
      </c>
    </row>
    <row r="18" spans="1:10" s="370" customFormat="1" x14ac:dyDescent="0.25">
      <c r="A18" s="366"/>
      <c r="B18" s="367" t="s">
        <v>454</v>
      </c>
      <c r="C18" s="367"/>
      <c r="D18" s="368"/>
      <c r="E18" s="368"/>
      <c r="F18" s="368"/>
      <c r="G18" s="368"/>
      <c r="H18" s="368"/>
      <c r="I18" s="371">
        <f>MEDIAN(I10:I13)</f>
        <v>0.32499999999999996</v>
      </c>
      <c r="J18" s="372">
        <f>MEDIAN(J10:J13)</f>
        <v>1.1000000000000001</v>
      </c>
    </row>
    <row r="19" spans="1:10" x14ac:dyDescent="0.25">
      <c r="A19" s="215"/>
      <c r="B19" s="78" t="s">
        <v>458</v>
      </c>
      <c r="C19" s="78"/>
      <c r="D19" s="328"/>
      <c r="E19" s="328"/>
      <c r="F19" s="328"/>
      <c r="G19" s="328"/>
      <c r="H19" s="328"/>
      <c r="I19" s="380">
        <f>MAX(I10:I13)</f>
        <v>0.55000000000000004</v>
      </c>
      <c r="J19" s="343">
        <f>MAX(J10:J13)</f>
        <v>1.5</v>
      </c>
    </row>
    <row r="20" spans="1:10" x14ac:dyDescent="0.25">
      <c r="A20" s="215"/>
      <c r="B20" s="85" t="s">
        <v>455</v>
      </c>
      <c r="C20" s="85"/>
      <c r="D20" s="329"/>
      <c r="E20" s="329"/>
      <c r="F20" s="329"/>
      <c r="G20" s="329"/>
      <c r="H20" s="329"/>
      <c r="I20" s="381">
        <f>MIN(I10:I13)</f>
        <v>0.14000000000000001</v>
      </c>
      <c r="J20" s="344">
        <f>MIN(J10:J13)</f>
        <v>0.96</v>
      </c>
    </row>
    <row r="21" spans="1:10" x14ac:dyDescent="0.25">
      <c r="A21" s="215"/>
      <c r="B21" s="325"/>
      <c r="C21" s="325"/>
      <c r="D21" s="325"/>
      <c r="E21" s="325"/>
      <c r="F21" s="325"/>
      <c r="G21" s="325"/>
      <c r="H21" s="325"/>
      <c r="I21" s="377"/>
      <c r="J21" s="345"/>
    </row>
    <row r="22" spans="1:10" x14ac:dyDescent="0.25">
      <c r="A22" s="215"/>
      <c r="B22" s="56" t="s">
        <v>539</v>
      </c>
      <c r="C22" s="56"/>
      <c r="D22" s="327"/>
      <c r="E22" s="327"/>
      <c r="F22" s="327"/>
      <c r="G22" s="327"/>
      <c r="H22" s="327"/>
      <c r="I22" s="379"/>
      <c r="J22" s="347"/>
    </row>
    <row r="23" spans="1:10" x14ac:dyDescent="0.25">
      <c r="A23" s="215"/>
      <c r="B23" s="78" t="s">
        <v>453</v>
      </c>
      <c r="C23" s="78"/>
      <c r="D23" s="328"/>
      <c r="E23" s="328"/>
      <c r="F23" s="328"/>
      <c r="G23" s="328"/>
      <c r="H23" s="328"/>
      <c r="I23" s="390">
        <f>(I17+1)*$F$15</f>
        <v>57.538767000000007</v>
      </c>
      <c r="J23" s="361">
        <f>J17*'Cover Page'!G13</f>
        <v>83.999102450737851</v>
      </c>
    </row>
    <row r="24" spans="1:10" s="370" customFormat="1" x14ac:dyDescent="0.25">
      <c r="A24" s="366"/>
      <c r="B24" s="367" t="s">
        <v>454</v>
      </c>
      <c r="C24" s="367"/>
      <c r="D24" s="368"/>
      <c r="E24" s="368"/>
      <c r="F24" s="368"/>
      <c r="G24" s="368"/>
      <c r="H24" s="368"/>
      <c r="I24" s="391">
        <f>(I18+1)*$F$15</f>
        <v>57.107765000000008</v>
      </c>
      <c r="J24" s="369">
        <f>J18*'Cover Page'!G13</f>
        <v>79.312457249623719</v>
      </c>
    </row>
    <row r="25" spans="1:10" x14ac:dyDescent="0.25">
      <c r="A25" s="215"/>
      <c r="B25" s="78" t="s">
        <v>458</v>
      </c>
      <c r="C25" s="78"/>
      <c r="D25" s="328"/>
      <c r="E25" s="328"/>
      <c r="F25" s="328"/>
      <c r="G25" s="328"/>
      <c r="H25" s="328"/>
      <c r="I25" s="390">
        <f>(I19+1)*$F$15</f>
        <v>66.80531000000002</v>
      </c>
      <c r="J25" s="361">
        <f>J19*'Cover Page'!G13</f>
        <v>108.15335079494143</v>
      </c>
    </row>
    <row r="26" spans="1:10" x14ac:dyDescent="0.25">
      <c r="A26" s="215"/>
      <c r="B26" s="85" t="s">
        <v>455</v>
      </c>
      <c r="C26" s="85"/>
      <c r="D26" s="329"/>
      <c r="E26" s="329"/>
      <c r="F26" s="329"/>
      <c r="G26" s="329"/>
      <c r="H26" s="329"/>
      <c r="I26" s="392">
        <f>(I20+1)*$F$15</f>
        <v>49.134228000000014</v>
      </c>
      <c r="J26" s="362">
        <f>J20*'Cover Page'!G13</f>
        <v>69.218144508762506</v>
      </c>
    </row>
    <row r="27" spans="1:10" x14ac:dyDescent="0.25">
      <c r="J27" s="352"/>
    </row>
    <row r="28" spans="1:10" x14ac:dyDescent="0.25">
      <c r="A28" s="360" t="s">
        <v>395</v>
      </c>
      <c r="B28" s="355" t="s">
        <v>482</v>
      </c>
      <c r="C28" s="355"/>
      <c r="D28" s="327"/>
      <c r="E28" s="327"/>
      <c r="F28" s="327"/>
      <c r="G28" s="327"/>
      <c r="H28" s="327"/>
      <c r="I28" s="379"/>
      <c r="J28" s="363"/>
    </row>
    <row r="29" spans="1:10" x14ac:dyDescent="0.25">
      <c r="A29" s="215"/>
      <c r="B29" s="78" t="s">
        <v>453</v>
      </c>
      <c r="C29" s="78"/>
      <c r="D29" s="328"/>
      <c r="E29" s="328"/>
      <c r="F29" s="328"/>
      <c r="G29" s="328"/>
      <c r="H29" s="328"/>
      <c r="I29" s="364">
        <f t="shared" ref="I29:J32" si="0">I23/$D$6-1</f>
        <v>0.33499999999999996</v>
      </c>
      <c r="J29" s="364">
        <f t="shared" si="0"/>
        <v>0.9489260479240893</v>
      </c>
    </row>
    <row r="30" spans="1:10" s="370" customFormat="1" x14ac:dyDescent="0.25">
      <c r="A30" s="366"/>
      <c r="B30" s="367" t="s">
        <v>454</v>
      </c>
      <c r="C30" s="367"/>
      <c r="D30" s="368"/>
      <c r="E30" s="368"/>
      <c r="F30" s="368"/>
      <c r="G30" s="368"/>
      <c r="H30" s="368"/>
      <c r="I30" s="371">
        <f t="shared" si="0"/>
        <v>0.32499999999999996</v>
      </c>
      <c r="J30" s="371">
        <f t="shared" si="0"/>
        <v>0.84018768473519168</v>
      </c>
    </row>
    <row r="31" spans="1:10" x14ac:dyDescent="0.25">
      <c r="A31" s="215"/>
      <c r="B31" s="78" t="s">
        <v>458</v>
      </c>
      <c r="C31" s="78"/>
      <c r="D31" s="328"/>
      <c r="E31" s="328"/>
      <c r="F31" s="328"/>
      <c r="G31" s="328"/>
      <c r="H31" s="328"/>
      <c r="I31" s="364">
        <f t="shared" si="0"/>
        <v>0.55000000000000027</v>
      </c>
      <c r="J31" s="364">
        <f t="shared" si="0"/>
        <v>1.5093468428207157</v>
      </c>
    </row>
    <row r="32" spans="1:10" x14ac:dyDescent="0.25">
      <c r="A32" s="215"/>
      <c r="B32" s="85" t="s">
        <v>455</v>
      </c>
      <c r="C32" s="85"/>
      <c r="D32" s="329"/>
      <c r="E32" s="329"/>
      <c r="F32" s="329"/>
      <c r="G32" s="329"/>
      <c r="H32" s="329"/>
      <c r="I32" s="365">
        <f t="shared" si="0"/>
        <v>0.14000000000000012</v>
      </c>
      <c r="J32" s="365">
        <f t="shared" si="0"/>
        <v>0.60598197940525789</v>
      </c>
    </row>
    <row r="34" spans="10:10" x14ac:dyDescent="0.25">
      <c r="J34" s="352"/>
    </row>
    <row r="35" spans="10:10" x14ac:dyDescent="0.25">
      <c r="J35" s="352"/>
    </row>
    <row r="36" spans="10:10" x14ac:dyDescent="0.25">
      <c r="J36" s="352"/>
    </row>
    <row r="37" spans="10:10" x14ac:dyDescent="0.25">
      <c r="J37" s="352"/>
    </row>
    <row r="38" spans="10:10" x14ac:dyDescent="0.25">
      <c r="J38" s="352"/>
    </row>
    <row r="39" spans="10:10" x14ac:dyDescent="0.25">
      <c r="J39" s="352"/>
    </row>
    <row r="40" spans="10:10" x14ac:dyDescent="0.25">
      <c r="J40" s="352"/>
    </row>
    <row r="41" spans="10:10" x14ac:dyDescent="0.25">
      <c r="J41" s="352"/>
    </row>
    <row r="42" spans="10:10" x14ac:dyDescent="0.25">
      <c r="J42" s="352"/>
    </row>
    <row r="43" spans="10:10" x14ac:dyDescent="0.25">
      <c r="J43" s="352"/>
    </row>
    <row r="44" spans="10:10" x14ac:dyDescent="0.25">
      <c r="J44" s="352"/>
    </row>
    <row r="45" spans="10:10" x14ac:dyDescent="0.25">
      <c r="J45" s="352"/>
    </row>
    <row r="46" spans="10:10" x14ac:dyDescent="0.25">
      <c r="J46" s="352"/>
    </row>
  </sheetData>
  <mergeCells count="2">
    <mergeCell ref="I8:J8"/>
    <mergeCell ref="B8:H8"/>
  </mergeCells>
  <pageMargins left="0.7" right="0.7" top="0.75" bottom="0.75" header="0.3" footer="0.3"/>
  <pageSetup orientation="portrait" verticalDpi="0" r:id="rId1"/>
  <ignoredErrors>
    <ignoredError sqref="D10" twoDigitTextYear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25B0-0516-4EA9-AFD4-4AAD84726C41}">
  <sheetPr>
    <tabColor rgb="FFC6A54A"/>
  </sheetPr>
  <dimension ref="B2:D12"/>
  <sheetViews>
    <sheetView showGridLines="0" topLeftCell="B1" workbookViewId="0">
      <selection activeCell="C5" sqref="A5:XFD5"/>
    </sheetView>
  </sheetViews>
  <sheetFormatPr defaultRowHeight="15" x14ac:dyDescent="0.25"/>
  <cols>
    <col min="2" max="2" width="19.28515625" bestFit="1" customWidth="1"/>
    <col min="3" max="3" width="20.7109375" customWidth="1"/>
    <col min="4" max="4" width="20.7109375" style="324" customWidth="1"/>
  </cols>
  <sheetData>
    <row r="2" spans="2:4" ht="15.75" x14ac:dyDescent="0.25">
      <c r="B2" s="323" t="s">
        <v>461</v>
      </c>
    </row>
    <row r="4" spans="2:4" x14ac:dyDescent="0.25">
      <c r="C4" s="409" t="s">
        <v>462</v>
      </c>
      <c r="D4" s="410" t="s">
        <v>537</v>
      </c>
    </row>
    <row r="5" spans="2:4" x14ac:dyDescent="0.25">
      <c r="C5" s="78" t="s">
        <v>463</v>
      </c>
      <c r="D5" s="393">
        <v>60</v>
      </c>
    </row>
    <row r="6" spans="2:4" x14ac:dyDescent="0.25">
      <c r="C6" s="85" t="s">
        <v>464</v>
      </c>
      <c r="D6" s="394">
        <v>58</v>
      </c>
    </row>
    <row r="7" spans="2:4" x14ac:dyDescent="0.25">
      <c r="C7" s="389" t="s">
        <v>468</v>
      </c>
      <c r="D7" s="394">
        <f>'Cover Page'!G28</f>
        <v>56.233151762682098</v>
      </c>
    </row>
    <row r="8" spans="2:4" x14ac:dyDescent="0.25">
      <c r="C8" s="78" t="s">
        <v>465</v>
      </c>
      <c r="D8" s="393">
        <v>50</v>
      </c>
    </row>
    <row r="9" spans="2:4" x14ac:dyDescent="0.25">
      <c r="C9" s="85" t="s">
        <v>466</v>
      </c>
      <c r="D9" s="394">
        <v>49</v>
      </c>
    </row>
    <row r="10" spans="2:4" x14ac:dyDescent="0.25">
      <c r="C10" s="388" t="s">
        <v>467</v>
      </c>
      <c r="D10" s="395">
        <v>44</v>
      </c>
    </row>
    <row r="11" spans="2:4" x14ac:dyDescent="0.25">
      <c r="C11" s="389"/>
      <c r="D11" s="394"/>
    </row>
    <row r="12" spans="2:4" x14ac:dyDescent="0.25">
      <c r="C12" s="414" t="s">
        <v>504</v>
      </c>
      <c r="D12" s="415">
        <f>AVERAGE(D8:D10,D5:D6)</f>
        <v>52.2</v>
      </c>
    </row>
  </sheetData>
  <sortState xmlns:xlrd2="http://schemas.microsoft.com/office/spreadsheetml/2017/richdata2" ref="C5:D10">
    <sortCondition descending="1" ref="D10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CAA4-8AB4-4C2C-82F0-3F96484D0591}">
  <sheetPr>
    <tabColor rgb="FF5A6772"/>
  </sheetPr>
  <dimension ref="A1"/>
  <sheetViews>
    <sheetView workbookViewId="0">
      <selection activeCell="U14" sqref="U14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826E-BBD8-4DED-A885-098D7E714EC8}">
  <sheetPr>
    <tabColor rgb="FFC6A54A"/>
  </sheetPr>
  <dimension ref="A1:R108"/>
  <sheetViews>
    <sheetView showGridLines="0" zoomScale="70" zoomScaleNormal="70" workbookViewId="0">
      <selection activeCell="B82" sqref="B82:G89"/>
    </sheetView>
  </sheetViews>
  <sheetFormatPr defaultRowHeight="15" x14ac:dyDescent="0.25"/>
  <cols>
    <col min="1" max="1" width="2.85546875" customWidth="1"/>
    <col min="2" max="2" width="47.5703125" customWidth="1"/>
    <col min="3" max="9" width="16.140625" customWidth="1"/>
    <col min="10" max="15" width="14.28515625" customWidth="1"/>
    <col min="16" max="16" width="15.28515625" customWidth="1"/>
    <col min="17" max="17" width="14.28515625" customWidth="1"/>
    <col min="18" max="18" width="9.140625" style="462"/>
  </cols>
  <sheetData>
    <row r="1" spans="1:18" ht="18" x14ac:dyDescent="0.25">
      <c r="A1" s="215"/>
      <c r="B1" s="216" t="s">
        <v>410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" x14ac:dyDescent="0.25">
      <c r="A2" s="215"/>
      <c r="B2" s="217" t="s">
        <v>411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8" x14ac:dyDescent="0.25">
      <c r="A3" s="215"/>
      <c r="B3" s="218" t="s">
        <v>412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 ht="6" customHeight="1" x14ac:dyDescent="0.25">
      <c r="A4" s="215"/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</row>
    <row r="5" spans="1:18" x14ac:dyDescent="0.25">
      <c r="A5" s="215"/>
      <c r="B5" s="56" t="s">
        <v>413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8" ht="15.75" thickBot="1" x14ac:dyDescent="0.3">
      <c r="A6" s="215"/>
      <c r="B6" s="74" t="s">
        <v>414</v>
      </c>
      <c r="C6" s="219" t="s">
        <v>21</v>
      </c>
      <c r="D6" s="220">
        <f>'NAV Model'!F56</f>
        <v>2027</v>
      </c>
      <c r="E6" s="220">
        <f>'NAV Model'!G56</f>
        <v>2028</v>
      </c>
      <c r="F6" s="220">
        <f>'NAV Model'!H56</f>
        <v>2029</v>
      </c>
      <c r="G6" s="220">
        <f>'NAV Model'!I56</f>
        <v>2030</v>
      </c>
      <c r="H6" s="220">
        <f>'NAV Model'!J56</f>
        <v>2031</v>
      </c>
      <c r="I6" s="220">
        <f>'NAV Model'!K56</f>
        <v>2032</v>
      </c>
      <c r="J6" s="220">
        <f>'NAV Model'!L56</f>
        <v>2033</v>
      </c>
      <c r="K6" s="220">
        <f>'NAV Model'!M56</f>
        <v>2034</v>
      </c>
      <c r="L6" s="220">
        <f>'NAV Model'!N56</f>
        <v>2035</v>
      </c>
      <c r="M6" s="220">
        <f>'NAV Model'!O56</f>
        <v>2036</v>
      </c>
      <c r="N6" s="220">
        <f>'NAV Model'!P56</f>
        <v>2037</v>
      </c>
      <c r="O6" s="220">
        <f>'NAV Model'!Q56</f>
        <v>2038</v>
      </c>
      <c r="P6" s="221" t="s">
        <v>95</v>
      </c>
      <c r="Q6" s="221" t="s">
        <v>23</v>
      </c>
    </row>
    <row r="7" spans="1:18" x14ac:dyDescent="0.25">
      <c r="A7" s="215"/>
      <c r="B7" s="78" t="s">
        <v>415</v>
      </c>
      <c r="C7" s="79" t="s">
        <v>31</v>
      </c>
      <c r="D7" s="222">
        <v>394939.47626472899</v>
      </c>
      <c r="E7" s="222">
        <v>273095.31081711099</v>
      </c>
      <c r="F7" s="222">
        <v>312215.66704711702</v>
      </c>
      <c r="G7" s="222">
        <v>288199.07727426197</v>
      </c>
      <c r="H7" s="222">
        <v>312215.66704711702</v>
      </c>
      <c r="I7" s="222">
        <v>309093.51037664601</v>
      </c>
      <c r="J7" s="222">
        <v>177455.91332165201</v>
      </c>
      <c r="K7" s="222">
        <v>242834.40770331299</v>
      </c>
      <c r="L7" s="222">
        <v>158776.34349832</v>
      </c>
      <c r="M7" s="222">
        <v>112397.640136962</v>
      </c>
      <c r="N7" s="222">
        <v>74718.279293327098</v>
      </c>
      <c r="O7" s="222">
        <v>67673.412959956302</v>
      </c>
      <c r="P7" s="223">
        <f>SUM(D7:O7)</f>
        <v>2723614.7057405114</v>
      </c>
      <c r="Q7" s="223">
        <f>AVERAGE(D7:O7)</f>
        <v>226967.89214504263</v>
      </c>
    </row>
    <row r="8" spans="1:18" x14ac:dyDescent="0.25">
      <c r="A8" s="215"/>
      <c r="B8" s="85" t="s">
        <v>408</v>
      </c>
      <c r="C8" s="48" t="s">
        <v>31</v>
      </c>
      <c r="D8" s="39">
        <v>447311.54399316804</v>
      </c>
      <c r="E8" s="39">
        <v>308708.31687244924</v>
      </c>
      <c r="F8" s="39">
        <v>353065.87987529935</v>
      </c>
      <c r="G8" s="39">
        <v>325906.96603873791</v>
      </c>
      <c r="H8" s="39">
        <v>353065.87987529935</v>
      </c>
      <c r="I8" s="39">
        <v>343659.0750774155</v>
      </c>
      <c r="J8" s="39">
        <v>197357.29905845877</v>
      </c>
      <c r="K8" s="39">
        <v>270067.88292210147</v>
      </c>
      <c r="L8" s="39">
        <v>176582.84652598941</v>
      </c>
      <c r="M8" s="39">
        <v>124966.93639178746</v>
      </c>
      <c r="N8" s="39">
        <v>83097.810129877369</v>
      </c>
      <c r="O8" s="39">
        <v>76052.943796506515</v>
      </c>
      <c r="P8" s="223">
        <f>SUM(D8:O8)</f>
        <v>3059843.3805570905</v>
      </c>
      <c r="Q8" s="223">
        <f>AVERAGE(D8:O8)</f>
        <v>254986.94837975755</v>
      </c>
    </row>
    <row r="9" spans="1:18" x14ac:dyDescent="0.25">
      <c r="A9" s="215"/>
      <c r="B9" s="224" t="s">
        <v>416</v>
      </c>
      <c r="C9" s="225" t="s">
        <v>31</v>
      </c>
      <c r="D9" s="226">
        <f t="shared" ref="D9:O9" si="0">D8-D7</f>
        <v>52372.067728439055</v>
      </c>
      <c r="E9" s="226">
        <f t="shared" si="0"/>
        <v>35613.00605533825</v>
      </c>
      <c r="F9" s="226">
        <f t="shared" si="0"/>
        <v>40850.212828182324</v>
      </c>
      <c r="G9" s="226">
        <f t="shared" si="0"/>
        <v>37707.888764475938</v>
      </c>
      <c r="H9" s="226">
        <f t="shared" si="0"/>
        <v>40850.212828182324</v>
      </c>
      <c r="I9" s="226">
        <f t="shared" si="0"/>
        <v>34565.564700769493</v>
      </c>
      <c r="J9" s="226">
        <f t="shared" si="0"/>
        <v>19901.385736806755</v>
      </c>
      <c r="K9" s="226">
        <f t="shared" si="0"/>
        <v>27233.475218788488</v>
      </c>
      <c r="L9" s="226">
        <f t="shared" si="0"/>
        <v>17806.503027669416</v>
      </c>
      <c r="M9" s="226">
        <f t="shared" si="0"/>
        <v>12569.296254825458</v>
      </c>
      <c r="N9" s="226">
        <f t="shared" si="0"/>
        <v>8379.5308365502715</v>
      </c>
      <c r="O9" s="226">
        <f t="shared" si="0"/>
        <v>8379.5308365502133</v>
      </c>
      <c r="P9" s="226">
        <f>SUM(D9:O9)</f>
        <v>336228.67481657799</v>
      </c>
      <c r="Q9" s="226">
        <f>AVERAGE(D9:O9)</f>
        <v>28019.056234714833</v>
      </c>
      <c r="R9" s="503">
        <f>Q9/Q7</f>
        <v>0.12344942700886258</v>
      </c>
    </row>
    <row r="10" spans="1:18" ht="9.9499999999999993" customHeight="1" x14ac:dyDescent="0.25">
      <c r="A10" s="215"/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</row>
    <row r="11" spans="1:18" x14ac:dyDescent="0.25">
      <c r="A11" s="215"/>
      <c r="B11" s="56" t="s">
        <v>417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8" ht="15.75" thickBot="1" x14ac:dyDescent="0.3">
      <c r="A12" s="215"/>
      <c r="B12" s="74" t="s">
        <v>414</v>
      </c>
      <c r="C12" s="219" t="s">
        <v>21</v>
      </c>
      <c r="D12" s="220">
        <f t="shared" ref="D12:O12" si="1">D6</f>
        <v>2027</v>
      </c>
      <c r="E12" s="220">
        <f t="shared" si="1"/>
        <v>2028</v>
      </c>
      <c r="F12" s="220">
        <f t="shared" si="1"/>
        <v>2029</v>
      </c>
      <c r="G12" s="220">
        <f t="shared" si="1"/>
        <v>2030</v>
      </c>
      <c r="H12" s="220">
        <f t="shared" si="1"/>
        <v>2031</v>
      </c>
      <c r="I12" s="220">
        <f t="shared" si="1"/>
        <v>2032</v>
      </c>
      <c r="J12" s="220">
        <f t="shared" si="1"/>
        <v>2033</v>
      </c>
      <c r="K12" s="220">
        <f t="shared" si="1"/>
        <v>2034</v>
      </c>
      <c r="L12" s="220">
        <f t="shared" si="1"/>
        <v>2035</v>
      </c>
      <c r="M12" s="220">
        <f t="shared" si="1"/>
        <v>2036</v>
      </c>
      <c r="N12" s="220">
        <f t="shared" si="1"/>
        <v>2037</v>
      </c>
      <c r="O12" s="220">
        <f t="shared" si="1"/>
        <v>2038</v>
      </c>
      <c r="P12" s="221" t="s">
        <v>95</v>
      </c>
      <c r="Q12" s="221" t="s">
        <v>23</v>
      </c>
    </row>
    <row r="13" spans="1:18" x14ac:dyDescent="0.25">
      <c r="A13" s="215"/>
      <c r="B13" s="78" t="s">
        <v>415</v>
      </c>
      <c r="C13" s="79" t="s">
        <v>31</v>
      </c>
      <c r="D13" s="222">
        <v>7915348.43345604</v>
      </c>
      <c r="E13" s="222">
        <v>7573507.80458791</v>
      </c>
      <c r="F13" s="222">
        <v>10111273.6508753</v>
      </c>
      <c r="G13" s="222">
        <v>8891250.1808478106</v>
      </c>
      <c r="H13" s="222">
        <v>12955069.365184</v>
      </c>
      <c r="I13" s="222">
        <v>6469635.2500522397</v>
      </c>
      <c r="J13" s="222">
        <v>4188162.1039432902</v>
      </c>
      <c r="K13" s="222">
        <v>9789444.9177745301</v>
      </c>
      <c r="L13" s="222">
        <v>6215683.1224781796</v>
      </c>
      <c r="M13" s="222">
        <v>2423545.90319417</v>
      </c>
      <c r="N13" s="222">
        <v>1402880.70474384</v>
      </c>
      <c r="O13" s="222">
        <v>1057295.1597087099</v>
      </c>
      <c r="P13" s="223">
        <f>SUM(D13:O13)</f>
        <v>78993096.596846014</v>
      </c>
      <c r="Q13" s="223">
        <f>AVERAGE(D13:O13)</f>
        <v>6582758.0497371675</v>
      </c>
    </row>
    <row r="14" spans="1:18" x14ac:dyDescent="0.25">
      <c r="A14" s="215"/>
      <c r="B14" s="85" t="s">
        <v>408</v>
      </c>
      <c r="C14" s="48" t="s">
        <v>31</v>
      </c>
      <c r="D14" s="39">
        <v>8964985.6289368104</v>
      </c>
      <c r="E14" s="39">
        <v>8561131.4239680637</v>
      </c>
      <c r="F14" s="39">
        <v>11434229.941021742</v>
      </c>
      <c r="G14" s="39">
        <v>10054578.932513043</v>
      </c>
      <c r="H14" s="39">
        <v>14650107.111934111</v>
      </c>
      <c r="I14" s="39">
        <v>7193126.9712260794</v>
      </c>
      <c r="J14" s="39">
        <v>4657857.5229275702</v>
      </c>
      <c r="K14" s="39">
        <v>10887314.894666886</v>
      </c>
      <c r="L14" s="39">
        <v>6912761.6538313804</v>
      </c>
      <c r="M14" s="39">
        <v>2694568.1987450076</v>
      </c>
      <c r="N14" s="39">
        <v>1560211.4441102128</v>
      </c>
      <c r="O14" s="39">
        <v>1188212.709254456</v>
      </c>
      <c r="P14" s="223">
        <f>SUM(D14:O14)</f>
        <v>88759086.43313536</v>
      </c>
      <c r="Q14" s="223">
        <f>AVERAGE(D14:O14)</f>
        <v>7396590.5360946134</v>
      </c>
    </row>
    <row r="15" spans="1:18" x14ac:dyDescent="0.25">
      <c r="A15" s="215"/>
      <c r="B15" s="224" t="s">
        <v>416</v>
      </c>
      <c r="C15" s="225" t="s">
        <v>31</v>
      </c>
      <c r="D15" s="226">
        <f t="shared" ref="D15:O15" si="2">D14-D13</f>
        <v>1049637.1954807704</v>
      </c>
      <c r="E15" s="226">
        <f t="shared" si="2"/>
        <v>987623.61938015372</v>
      </c>
      <c r="F15" s="226">
        <f t="shared" si="2"/>
        <v>1322956.2901464421</v>
      </c>
      <c r="G15" s="226">
        <f t="shared" si="2"/>
        <v>1163328.7516652327</v>
      </c>
      <c r="H15" s="226">
        <f t="shared" si="2"/>
        <v>1695037.7467501108</v>
      </c>
      <c r="I15" s="226">
        <f t="shared" si="2"/>
        <v>723491.72117383964</v>
      </c>
      <c r="J15" s="226">
        <f t="shared" si="2"/>
        <v>469695.41898427997</v>
      </c>
      <c r="K15" s="226">
        <f t="shared" si="2"/>
        <v>1097869.9768923558</v>
      </c>
      <c r="L15" s="226">
        <f t="shared" si="2"/>
        <v>697078.53135320079</v>
      </c>
      <c r="M15" s="226">
        <f t="shared" si="2"/>
        <v>271022.29555083765</v>
      </c>
      <c r="N15" s="226">
        <f t="shared" si="2"/>
        <v>157330.73936637281</v>
      </c>
      <c r="O15" s="226">
        <f t="shared" si="2"/>
        <v>130917.54954574606</v>
      </c>
      <c r="P15" s="226">
        <f>SUM(D15:O15)</f>
        <v>9765989.8362893444</v>
      </c>
      <c r="Q15" s="226">
        <f>AVERAGE(D15:O15)</f>
        <v>813832.48635744536</v>
      </c>
      <c r="R15" s="503">
        <f>Q15/Q13</f>
        <v>0.12363092798009484</v>
      </c>
    </row>
    <row r="16" spans="1:18" x14ac:dyDescent="0.25">
      <c r="R16"/>
    </row>
    <row r="17" spans="1:18" x14ac:dyDescent="0.25">
      <c r="A17" s="215"/>
      <c r="B17" s="56" t="s">
        <v>607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8" ht="15.75" thickBot="1" x14ac:dyDescent="0.3">
      <c r="A18" s="215"/>
      <c r="B18" s="74" t="s">
        <v>414</v>
      </c>
      <c r="C18" s="219" t="s">
        <v>21</v>
      </c>
      <c r="D18" s="220">
        <f t="shared" ref="D18:O18" si="3">D12</f>
        <v>2027</v>
      </c>
      <c r="E18" s="220">
        <f t="shared" si="3"/>
        <v>2028</v>
      </c>
      <c r="F18" s="220">
        <f t="shared" si="3"/>
        <v>2029</v>
      </c>
      <c r="G18" s="220">
        <f t="shared" si="3"/>
        <v>2030</v>
      </c>
      <c r="H18" s="220">
        <f t="shared" si="3"/>
        <v>2031</v>
      </c>
      <c r="I18" s="220">
        <f t="shared" si="3"/>
        <v>2032</v>
      </c>
      <c r="J18" s="220">
        <f t="shared" si="3"/>
        <v>2033</v>
      </c>
      <c r="K18" s="220">
        <f t="shared" si="3"/>
        <v>2034</v>
      </c>
      <c r="L18" s="220">
        <f t="shared" si="3"/>
        <v>2035</v>
      </c>
      <c r="M18" s="220">
        <f t="shared" si="3"/>
        <v>2036</v>
      </c>
      <c r="N18" s="220">
        <f t="shared" si="3"/>
        <v>2037</v>
      </c>
      <c r="O18" s="220">
        <f t="shared" si="3"/>
        <v>2038</v>
      </c>
      <c r="P18" s="221" t="s">
        <v>95</v>
      </c>
      <c r="Q18" s="221" t="s">
        <v>23</v>
      </c>
    </row>
    <row r="19" spans="1:18" x14ac:dyDescent="0.25">
      <c r="A19" s="2"/>
      <c r="B19" s="78" t="s">
        <v>605</v>
      </c>
      <c r="C19" s="79" t="s">
        <v>525</v>
      </c>
      <c r="D19" s="222">
        <v>1437.0417961934795</v>
      </c>
      <c r="E19" s="222">
        <v>848.25439281575154</v>
      </c>
      <c r="F19" s="222">
        <v>853.92354975119554</v>
      </c>
      <c r="G19" s="222">
        <v>489.89564668626917</v>
      </c>
      <c r="H19" s="222">
        <v>557.85819105957705</v>
      </c>
      <c r="I19" s="222">
        <v>426.37281432416609</v>
      </c>
      <c r="J19" s="222">
        <v>211.9027275280078</v>
      </c>
      <c r="K19" s="222">
        <v>344.78036306774891</v>
      </c>
      <c r="L19" s="222">
        <v>189.55060959104543</v>
      </c>
      <c r="M19" s="222">
        <v>87.24880791895535</v>
      </c>
      <c r="N19" s="222">
        <v>37.504676295485631</v>
      </c>
      <c r="O19" s="222">
        <v>-21.380931838482649</v>
      </c>
      <c r="P19" s="223">
        <f>SUM(D19:O19)</f>
        <v>5462.9526433931978</v>
      </c>
      <c r="R19"/>
    </row>
    <row r="20" spans="1:18" x14ac:dyDescent="0.25">
      <c r="B20" s="85" t="s">
        <v>606</v>
      </c>
      <c r="C20" s="48" t="s">
        <v>525</v>
      </c>
      <c r="D20" s="39">
        <v>1640.9173390607307</v>
      </c>
      <c r="E20" s="39">
        <v>972.02202528161899</v>
      </c>
      <c r="F20" s="39">
        <v>977.57603266544504</v>
      </c>
      <c r="G20" s="39">
        <v>565.18453443061469</v>
      </c>
      <c r="H20" s="39">
        <v>641.07227741158545</v>
      </c>
      <c r="I20" s="39">
        <v>479.71274452151937</v>
      </c>
      <c r="J20" s="39">
        <v>241.14705074816615</v>
      </c>
      <c r="K20" s="39">
        <v>388.22742355062934</v>
      </c>
      <c r="L20" s="39">
        <v>215.5840355449794</v>
      </c>
      <c r="M20" s="39">
        <v>101.60124465252784</v>
      </c>
      <c r="N20" s="39">
        <v>46.104519183176308</v>
      </c>
      <c r="O20" s="39">
        <v>-13.669922894078722</v>
      </c>
      <c r="P20" s="223">
        <f>SUM(D20:O20)</f>
        <v>6255.4793041569146</v>
      </c>
      <c r="Q20" s="503">
        <f>P20/P19-1</f>
        <v>0.14507295092923522</v>
      </c>
      <c r="R20"/>
    </row>
    <row r="21" spans="1:18" x14ac:dyDescent="0.25">
      <c r="B21" s="224" t="s">
        <v>416</v>
      </c>
      <c r="C21" s="225" t="s">
        <v>525</v>
      </c>
      <c r="D21" s="226">
        <f>D20-D19</f>
        <v>203.87554286725117</v>
      </c>
      <c r="E21" s="226">
        <f t="shared" ref="E21:O21" si="4">E20-E19</f>
        <v>123.76763246586745</v>
      </c>
      <c r="F21" s="226">
        <f t="shared" si="4"/>
        <v>123.6524829142495</v>
      </c>
      <c r="G21" s="226">
        <f t="shared" si="4"/>
        <v>75.288887744345516</v>
      </c>
      <c r="H21" s="226">
        <f t="shared" si="4"/>
        <v>83.214086352008394</v>
      </c>
      <c r="I21" s="226">
        <f t="shared" si="4"/>
        <v>53.339930197353283</v>
      </c>
      <c r="J21" s="226">
        <f t="shared" si="4"/>
        <v>29.24432322015835</v>
      </c>
      <c r="K21" s="226">
        <f t="shared" si="4"/>
        <v>43.447060482880431</v>
      </c>
      <c r="L21" s="226">
        <f t="shared" si="4"/>
        <v>26.033425953933971</v>
      </c>
      <c r="M21" s="226">
        <f t="shared" si="4"/>
        <v>14.352436733572489</v>
      </c>
      <c r="N21" s="226">
        <f t="shared" si="4"/>
        <v>8.5998428876906772</v>
      </c>
      <c r="O21" s="226">
        <f t="shared" si="4"/>
        <v>7.7110089444039271</v>
      </c>
      <c r="P21" s="226">
        <f>SUM(D21:O21)</f>
        <v>792.5266607637152</v>
      </c>
      <c r="Q21" s="503">
        <f>P21/P19</f>
        <v>0.14507295092923486</v>
      </c>
      <c r="R21"/>
    </row>
    <row r="22" spans="1:18" x14ac:dyDescent="0.25">
      <c r="B22" t="s">
        <v>608</v>
      </c>
      <c r="D22" s="1">
        <f>D21/D19</f>
        <v>0.14187168627056546</v>
      </c>
      <c r="E22" s="1">
        <f t="shared" ref="E22:O22" si="5">E21/E19</f>
        <v>0.14590862542429636</v>
      </c>
      <c r="F22" s="1">
        <f t="shared" si="5"/>
        <v>0.14480509754096565</v>
      </c>
      <c r="G22" s="1">
        <f t="shared" si="5"/>
        <v>0.15368352067141511</v>
      </c>
      <c r="H22" s="1">
        <f t="shared" si="5"/>
        <v>0.14916709602122066</v>
      </c>
      <c r="I22" s="1">
        <f t="shared" si="5"/>
        <v>0.12510162094152555</v>
      </c>
      <c r="J22" s="1">
        <f t="shared" si="5"/>
        <v>0.138008243505469</v>
      </c>
      <c r="K22" s="1">
        <f t="shared" si="5"/>
        <v>0.12601373261603979</v>
      </c>
      <c r="L22" s="1">
        <f t="shared" si="5"/>
        <v>0.13734287644920251</v>
      </c>
      <c r="M22" s="1">
        <f t="shared" si="5"/>
        <v>0.1645000897537115</v>
      </c>
      <c r="N22" s="1">
        <f t="shared" si="5"/>
        <v>0.22930054961508425</v>
      </c>
      <c r="O22" s="1">
        <f t="shared" si="5"/>
        <v>-0.36064887174492571</v>
      </c>
      <c r="R22"/>
    </row>
    <row r="23" spans="1:18" x14ac:dyDescent="0.25">
      <c r="R23"/>
    </row>
    <row r="24" spans="1:18" x14ac:dyDescent="0.25">
      <c r="R24"/>
    </row>
    <row r="25" spans="1:18" x14ac:dyDescent="0.25">
      <c r="R25"/>
    </row>
    <row r="26" spans="1:18" s="1" customFormat="1" ht="20.100000000000001" customHeight="1" thickBot="1" x14ac:dyDescent="0.3">
      <c r="A26"/>
      <c r="B26" s="467"/>
      <c r="C26" s="467"/>
      <c r="D26" s="467"/>
      <c r="E26" s="467"/>
      <c r="F26" s="467"/>
      <c r="G26" s="467"/>
      <c r="H26" s="467"/>
      <c r="I26" s="467"/>
      <c r="J26"/>
      <c r="K26"/>
      <c r="L26"/>
      <c r="M26"/>
      <c r="N26"/>
      <c r="O26"/>
      <c r="P26"/>
      <c r="Q26"/>
      <c r="R26" s="503"/>
    </row>
    <row r="27" spans="1:18" ht="18" x14ac:dyDescent="0.25">
      <c r="B27" s="541" t="s">
        <v>593</v>
      </c>
      <c r="C27" s="541"/>
      <c r="D27" s="541"/>
      <c r="E27" s="541"/>
      <c r="F27" s="541"/>
      <c r="G27" s="541"/>
      <c r="H27" s="541"/>
      <c r="I27" s="541"/>
    </row>
    <row r="28" spans="1:18" ht="20.100000000000001" customHeight="1" x14ac:dyDescent="0.25">
      <c r="A28" s="215"/>
      <c r="B28" s="286" t="s">
        <v>415</v>
      </c>
      <c r="C28" s="286"/>
      <c r="D28" s="419">
        <f>D7</f>
        <v>394939.47626472899</v>
      </c>
      <c r="E28" s="286">
        <f t="shared" ref="E28:O28" si="6">E7</f>
        <v>273095.31081711099</v>
      </c>
      <c r="F28" s="286">
        <f t="shared" si="6"/>
        <v>312215.66704711702</v>
      </c>
      <c r="G28" s="286">
        <f t="shared" si="6"/>
        <v>288199.07727426197</v>
      </c>
      <c r="H28" s="286">
        <f t="shared" si="6"/>
        <v>312215.66704711702</v>
      </c>
      <c r="I28" s="286">
        <f t="shared" si="6"/>
        <v>309093.51037664601</v>
      </c>
      <c r="J28" s="286">
        <f t="shared" si="6"/>
        <v>177455.91332165201</v>
      </c>
      <c r="K28" s="286">
        <f t="shared" si="6"/>
        <v>242834.40770331299</v>
      </c>
      <c r="L28" s="286">
        <f t="shared" si="6"/>
        <v>158776.34349832</v>
      </c>
      <c r="M28" s="286">
        <f t="shared" si="6"/>
        <v>112397.640136962</v>
      </c>
      <c r="N28" s="286">
        <f t="shared" si="6"/>
        <v>74718.279293327098</v>
      </c>
      <c r="O28" s="286">
        <f t="shared" si="6"/>
        <v>67673.412959956302</v>
      </c>
      <c r="P28" s="215"/>
      <c r="Q28" s="215"/>
    </row>
    <row r="29" spans="1:18" ht="20.100000000000001" customHeight="1" x14ac:dyDescent="0.25">
      <c r="A29" s="215"/>
      <c r="B29" s="286" t="s">
        <v>416</v>
      </c>
      <c r="C29" s="286"/>
      <c r="D29" s="286">
        <f t="shared" ref="D29:O29" si="7">D9</f>
        <v>52372.067728439055</v>
      </c>
      <c r="E29" s="286">
        <f t="shared" si="7"/>
        <v>35613.00605533825</v>
      </c>
      <c r="F29" s="286">
        <f t="shared" si="7"/>
        <v>40850.212828182324</v>
      </c>
      <c r="G29" s="286">
        <f t="shared" si="7"/>
        <v>37707.888764475938</v>
      </c>
      <c r="H29" s="286">
        <f t="shared" si="7"/>
        <v>40850.212828182324</v>
      </c>
      <c r="I29" s="286">
        <f t="shared" si="7"/>
        <v>34565.564700769493</v>
      </c>
      <c r="J29" s="286">
        <f t="shared" si="7"/>
        <v>19901.385736806755</v>
      </c>
      <c r="K29" s="286">
        <f t="shared" si="7"/>
        <v>27233.475218788488</v>
      </c>
      <c r="L29" s="286">
        <f t="shared" si="7"/>
        <v>17806.503027669416</v>
      </c>
      <c r="M29" s="286">
        <f t="shared" si="7"/>
        <v>12569.296254825458</v>
      </c>
      <c r="N29" s="286">
        <f t="shared" si="7"/>
        <v>8379.5308365502715</v>
      </c>
      <c r="O29" s="286">
        <f t="shared" si="7"/>
        <v>8379.5308365502133</v>
      </c>
      <c r="P29" s="215"/>
      <c r="Q29" s="215"/>
    </row>
    <row r="30" spans="1:18" ht="20.100000000000001" customHeight="1" x14ac:dyDescent="0.25">
      <c r="A30" s="215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15"/>
      <c r="Q30" s="215"/>
    </row>
    <row r="31" spans="1:18" ht="20.100000000000001" customHeight="1" x14ac:dyDescent="0.25">
      <c r="A31" s="215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15"/>
      <c r="Q31" s="215"/>
    </row>
    <row r="32" spans="1:18" ht="20.100000000000001" customHeight="1" x14ac:dyDescent="0.25">
      <c r="A32" s="21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15"/>
      <c r="Q32" s="215"/>
    </row>
    <row r="33" spans="1:18" ht="20.100000000000001" customHeight="1" x14ac:dyDescent="0.25">
      <c r="A33" s="215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15"/>
      <c r="Q33" s="215"/>
    </row>
    <row r="34" spans="1:18" ht="20.100000000000001" customHeight="1" x14ac:dyDescent="0.25">
      <c r="A34" s="215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15"/>
      <c r="Q34" s="215"/>
    </row>
    <row r="35" spans="1:18" ht="20.100000000000001" customHeight="1" x14ac:dyDescent="0.25">
      <c r="A35" s="215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15"/>
      <c r="Q35" s="215"/>
    </row>
    <row r="36" spans="1:18" ht="20.100000000000001" customHeight="1" x14ac:dyDescent="0.25">
      <c r="A36" s="215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15"/>
      <c r="Q36" s="215"/>
    </row>
    <row r="37" spans="1:18" ht="20.100000000000001" customHeight="1" x14ac:dyDescent="0.25">
      <c r="A37" s="215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15"/>
      <c r="Q37" s="215"/>
    </row>
    <row r="38" spans="1:18" ht="20.100000000000001" customHeight="1" x14ac:dyDescent="0.25">
      <c r="A38" s="215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15"/>
      <c r="Q38" s="215"/>
    </row>
    <row r="39" spans="1:18" ht="20.100000000000001" customHeight="1" x14ac:dyDescent="0.25">
      <c r="A39" s="215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15"/>
      <c r="Q39" s="215"/>
    </row>
    <row r="40" spans="1:18" ht="20.100000000000001" customHeight="1" x14ac:dyDescent="0.25">
      <c r="A40" s="215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15"/>
      <c r="Q40" s="215"/>
    </row>
    <row r="41" spans="1:18" s="1" customFormat="1" ht="20.100000000000001" customHeight="1" thickBot="1" x14ac:dyDescent="0.3">
      <c r="A41"/>
      <c r="B41" s="467"/>
      <c r="C41" s="467"/>
      <c r="D41" s="467"/>
      <c r="E41" s="467"/>
      <c r="F41" s="467"/>
      <c r="G41" s="467"/>
      <c r="H41" s="467"/>
      <c r="I41" s="467"/>
      <c r="J41"/>
      <c r="K41"/>
      <c r="L41"/>
      <c r="M41"/>
      <c r="N41"/>
      <c r="O41"/>
      <c r="P41"/>
      <c r="Q41"/>
      <c r="R41" s="503"/>
    </row>
    <row r="42" spans="1:18" ht="18" x14ac:dyDescent="0.25">
      <c r="B42" s="541" t="s">
        <v>565</v>
      </c>
      <c r="C42" s="541"/>
      <c r="D42" s="541"/>
      <c r="E42" s="541"/>
      <c r="F42" s="541"/>
      <c r="G42" s="541"/>
      <c r="H42" s="541"/>
      <c r="I42" s="541"/>
    </row>
    <row r="43" spans="1:18" x14ac:dyDescent="0.25">
      <c r="B43" s="554" t="s">
        <v>566</v>
      </c>
      <c r="C43" s="554"/>
      <c r="D43" s="554"/>
      <c r="E43" s="554"/>
      <c r="F43" s="554"/>
      <c r="G43" s="554"/>
      <c r="H43" s="554"/>
      <c r="I43" s="554"/>
    </row>
    <row r="44" spans="1:18" x14ac:dyDescent="0.25">
      <c r="B44" s="555" t="s">
        <v>158</v>
      </c>
      <c r="C44" s="555"/>
      <c r="D44" s="555"/>
      <c r="E44" s="555"/>
      <c r="F44" s="555"/>
      <c r="G44" s="555"/>
      <c r="H44" s="555"/>
      <c r="I44" s="555"/>
    </row>
    <row r="46" spans="1:18" x14ac:dyDescent="0.25">
      <c r="B46" s="56" t="s">
        <v>567</v>
      </c>
      <c r="C46" s="56"/>
      <c r="D46" s="56"/>
      <c r="E46" s="56"/>
      <c r="F46" s="56"/>
    </row>
    <row r="47" spans="1:18" ht="15.75" thickBot="1" x14ac:dyDescent="0.3">
      <c r="B47" s="74" t="s">
        <v>160</v>
      </c>
      <c r="C47" s="219" t="s">
        <v>21</v>
      </c>
      <c r="D47" s="219" t="s">
        <v>568</v>
      </c>
      <c r="E47" s="219" t="s">
        <v>569</v>
      </c>
      <c r="F47" s="219" t="s">
        <v>570</v>
      </c>
    </row>
    <row r="48" spans="1:18" x14ac:dyDescent="0.25">
      <c r="B48" s="452" t="s">
        <v>33</v>
      </c>
      <c r="C48" s="79" t="s">
        <v>162</v>
      </c>
      <c r="D48" s="453">
        <v>1700</v>
      </c>
      <c r="E48" s="475">
        <f>'Economic Assumptions'!I10</f>
        <v>3150</v>
      </c>
      <c r="F48" s="454">
        <f>(E48-D48)/D48</f>
        <v>0.8529411764705882</v>
      </c>
    </row>
    <row r="49" spans="2:10" x14ac:dyDescent="0.25">
      <c r="B49" s="455" t="s">
        <v>163</v>
      </c>
      <c r="C49" s="48" t="s">
        <v>162</v>
      </c>
      <c r="D49" s="456">
        <v>23</v>
      </c>
      <c r="E49" s="476">
        <f>'Economic Assumptions'!I17</f>
        <v>42</v>
      </c>
      <c r="F49" s="457">
        <f>(E49-D49)/D49</f>
        <v>0.82608695652173914</v>
      </c>
    </row>
    <row r="50" spans="2:10" x14ac:dyDescent="0.25">
      <c r="B50" s="452" t="s">
        <v>571</v>
      </c>
      <c r="C50" s="79" t="s">
        <v>29</v>
      </c>
      <c r="D50" s="468">
        <v>0.84</v>
      </c>
      <c r="E50" s="468">
        <v>0.84</v>
      </c>
      <c r="F50" s="79" t="s">
        <v>80</v>
      </c>
    </row>
    <row r="51" spans="2:10" x14ac:dyDescent="0.25">
      <c r="B51" s="455" t="s">
        <v>117</v>
      </c>
      <c r="C51" s="48" t="s">
        <v>29</v>
      </c>
      <c r="D51" s="469">
        <v>0.88</v>
      </c>
      <c r="E51" s="469">
        <v>0.88</v>
      </c>
      <c r="F51" s="48" t="s">
        <v>80</v>
      </c>
    </row>
    <row r="52" spans="2:10" x14ac:dyDescent="0.25">
      <c r="B52" s="452" t="s">
        <v>572</v>
      </c>
      <c r="C52" s="79" t="s">
        <v>573</v>
      </c>
      <c r="D52" s="92">
        <v>0.7</v>
      </c>
      <c r="E52" s="447">
        <f>D52*(D48/E48)</f>
        <v>0.37777777777777771</v>
      </c>
      <c r="F52" s="454">
        <f>(E52-D52)/D52</f>
        <v>-0.4603174603174604</v>
      </c>
    </row>
    <row r="53" spans="2:10" x14ac:dyDescent="0.25">
      <c r="B53" s="458" t="s">
        <v>574</v>
      </c>
      <c r="C53" s="460" t="s">
        <v>575</v>
      </c>
      <c r="D53" s="470">
        <v>24.45</v>
      </c>
      <c r="E53" s="461">
        <f>D53*((D48*D50)+(D49*D51))/((E48*E50)+(E49*E51))</f>
        <v>13.197911262188031</v>
      </c>
      <c r="F53" s="504">
        <f>(E53-D53)/D53</f>
        <v>-0.46020812833586783</v>
      </c>
    </row>
    <row r="55" spans="2:10" x14ac:dyDescent="0.25">
      <c r="B55" s="553" t="str">
        <f>"AuEq Formula: AuEq = ((Au × $"&amp;TEXT(D48,"#,##0")&amp;" × "&amp;TEXT(D50,"0.00")&amp;") + (Ag × $"&amp;TEXT(D49,"#,##0")&amp;" × "&amp;TEXT(D51,"0.00")&amp;")) / ($"&amp;TEXT(D48,"#,##0")&amp;" × "&amp;TEXT(D50,"0.00")&amp;")"</f>
        <v>AuEq Formula: AuEq = ((Au × $1,700 × 0.84) + (Ag × $23 × 0.88)) / ($1,700 × 0.84)</v>
      </c>
      <c r="C55" s="553"/>
      <c r="D55" s="553"/>
      <c r="E55" s="553"/>
      <c r="F55" s="553"/>
      <c r="G55" s="553"/>
      <c r="H55" s="553"/>
    </row>
    <row r="56" spans="2:10" x14ac:dyDescent="0.25">
      <c r="B56" s="553" t="str">
        <f>"NSR Cut-off: C$"&amp;TEXT(D53,"#,##0.00")&amp;"/t based on processing costs of C$18.22/t + G&amp;A of C$6.23/t"</f>
        <v>NSR Cut-off: C$24.45/t based on processing costs of C$18.22/t + G&amp;A of C$6.23/t</v>
      </c>
      <c r="C56" s="553"/>
      <c r="D56" s="553"/>
      <c r="E56" s="553"/>
      <c r="F56" s="553"/>
      <c r="G56" s="553"/>
      <c r="H56" s="553"/>
    </row>
    <row r="58" spans="2:10" x14ac:dyDescent="0.25">
      <c r="B58" s="552" t="s">
        <v>576</v>
      </c>
      <c r="C58" s="552"/>
      <c r="D58" s="552"/>
      <c r="E58" s="552"/>
      <c r="F58" s="552"/>
      <c r="G58" s="552"/>
      <c r="H58" s="552"/>
      <c r="I58" s="552"/>
      <c r="J58" s="337"/>
    </row>
    <row r="60" spans="2:10" x14ac:dyDescent="0.25">
      <c r="B60" s="551" t="s">
        <v>577</v>
      </c>
      <c r="C60" s="551"/>
      <c r="D60" s="551"/>
      <c r="E60" s="551"/>
      <c r="F60" s="551"/>
      <c r="G60" s="551"/>
      <c r="H60" s="551"/>
      <c r="I60" s="551"/>
    </row>
    <row r="61" spans="2:10" ht="15.75" thickBot="1" x14ac:dyDescent="0.3">
      <c r="B61" s="74" t="s">
        <v>12</v>
      </c>
      <c r="C61" s="219" t="s">
        <v>103</v>
      </c>
      <c r="D61" s="219" t="s">
        <v>104</v>
      </c>
      <c r="E61" s="219" t="s">
        <v>105</v>
      </c>
      <c r="F61" s="219" t="s">
        <v>106</v>
      </c>
      <c r="G61" s="219" t="s">
        <v>578</v>
      </c>
      <c r="H61" s="219" t="s">
        <v>579</v>
      </c>
      <c r="I61" s="219" t="s">
        <v>580</v>
      </c>
    </row>
    <row r="62" spans="2:10" x14ac:dyDescent="0.25">
      <c r="B62" s="452" t="s">
        <v>110</v>
      </c>
      <c r="C62" s="465">
        <v>27814</v>
      </c>
      <c r="D62" s="473">
        <v>4.5999999999999996</v>
      </c>
      <c r="E62" s="473">
        <v>3.3</v>
      </c>
      <c r="F62" s="473">
        <v>87.9</v>
      </c>
      <c r="G62" s="465">
        <v>4077</v>
      </c>
      <c r="H62" s="465">
        <v>2964</v>
      </c>
      <c r="I62" s="465">
        <v>78560</v>
      </c>
    </row>
    <row r="63" spans="2:10" x14ac:dyDescent="0.25">
      <c r="B63" s="455" t="s">
        <v>111</v>
      </c>
      <c r="C63" s="86">
        <v>22264</v>
      </c>
      <c r="D63" s="108">
        <v>2.1</v>
      </c>
      <c r="E63" s="108">
        <v>1.6</v>
      </c>
      <c r="F63" s="108">
        <v>32</v>
      </c>
      <c r="G63" s="86">
        <v>1468</v>
      </c>
      <c r="H63" s="86">
        <v>1144</v>
      </c>
      <c r="I63" s="86">
        <v>22876</v>
      </c>
    </row>
    <row r="64" spans="2:10" x14ac:dyDescent="0.25">
      <c r="B64" s="458" t="s">
        <v>581</v>
      </c>
      <c r="C64" s="472">
        <v>50078</v>
      </c>
      <c r="D64" s="474">
        <v>3.4</v>
      </c>
      <c r="E64" s="474">
        <v>2.6</v>
      </c>
      <c r="F64" s="474">
        <v>63</v>
      </c>
      <c r="G64" s="472">
        <v>5545</v>
      </c>
      <c r="H64" s="472">
        <v>4107</v>
      </c>
      <c r="I64" s="472">
        <v>101436</v>
      </c>
    </row>
    <row r="65" spans="2:9" x14ac:dyDescent="0.25">
      <c r="B65" s="105" t="s">
        <v>113</v>
      </c>
      <c r="C65" s="465">
        <v>652</v>
      </c>
      <c r="D65" s="473">
        <v>1.9</v>
      </c>
      <c r="E65" s="473">
        <v>1.5</v>
      </c>
      <c r="F65" s="473">
        <v>32.4</v>
      </c>
      <c r="G65" s="465">
        <v>40</v>
      </c>
      <c r="H65" s="465">
        <v>30</v>
      </c>
      <c r="I65" s="465">
        <v>680</v>
      </c>
    </row>
    <row r="67" spans="2:9" x14ac:dyDescent="0.25">
      <c r="B67" s="551" t="s">
        <v>582</v>
      </c>
      <c r="C67" s="551"/>
      <c r="D67" s="551"/>
      <c r="E67" s="551"/>
      <c r="F67" s="551"/>
      <c r="G67" s="551"/>
      <c r="H67" s="551"/>
      <c r="I67" s="551"/>
    </row>
    <row r="68" spans="2:9" ht="15.75" thickBot="1" x14ac:dyDescent="0.3">
      <c r="B68" s="74" t="s">
        <v>12</v>
      </c>
      <c r="C68" s="219" t="s">
        <v>103</v>
      </c>
      <c r="D68" s="219" t="s">
        <v>104</v>
      </c>
      <c r="E68" s="219" t="s">
        <v>105</v>
      </c>
      <c r="F68" s="219" t="s">
        <v>106</v>
      </c>
      <c r="G68" s="219" t="s">
        <v>578</v>
      </c>
      <c r="H68" s="219" t="s">
        <v>579</v>
      </c>
      <c r="I68" s="219" t="s">
        <v>580</v>
      </c>
    </row>
    <row r="69" spans="2:9" x14ac:dyDescent="0.25">
      <c r="B69" s="452" t="s">
        <v>110</v>
      </c>
      <c r="C69" s="465">
        <v>834</v>
      </c>
      <c r="D69" s="473">
        <v>7.3</v>
      </c>
      <c r="E69" s="473">
        <v>5.3</v>
      </c>
      <c r="F69" s="473">
        <v>142.9</v>
      </c>
      <c r="G69" s="465">
        <v>196</v>
      </c>
      <c r="H69" s="465">
        <v>142</v>
      </c>
      <c r="I69" s="465">
        <v>3831</v>
      </c>
    </row>
    <row r="70" spans="2:9" x14ac:dyDescent="0.25">
      <c r="B70" s="455" t="s">
        <v>111</v>
      </c>
      <c r="C70" s="86">
        <v>988</v>
      </c>
      <c r="D70" s="108">
        <v>4.9000000000000004</v>
      </c>
      <c r="E70" s="108">
        <v>4.0999999999999996</v>
      </c>
      <c r="F70" s="108">
        <v>55.7</v>
      </c>
      <c r="G70" s="86">
        <v>156</v>
      </c>
      <c r="H70" s="86">
        <v>131</v>
      </c>
      <c r="I70" s="86">
        <v>1768</v>
      </c>
    </row>
    <row r="71" spans="2:9" x14ac:dyDescent="0.25">
      <c r="B71" s="458" t="s">
        <v>581</v>
      </c>
      <c r="C71" s="472">
        <v>1821</v>
      </c>
      <c r="D71" s="474">
        <v>6</v>
      </c>
      <c r="E71" s="474">
        <v>4.7</v>
      </c>
      <c r="F71" s="474">
        <v>95.6</v>
      </c>
      <c r="G71" s="472">
        <v>352</v>
      </c>
      <c r="H71" s="472">
        <v>273</v>
      </c>
      <c r="I71" s="472">
        <v>5599</v>
      </c>
    </row>
    <row r="72" spans="2:9" x14ac:dyDescent="0.25">
      <c r="B72" s="105" t="s">
        <v>113</v>
      </c>
      <c r="C72" s="465">
        <v>272</v>
      </c>
      <c r="D72" s="473">
        <v>4.5999999999999996</v>
      </c>
      <c r="E72" s="473">
        <v>4.2</v>
      </c>
      <c r="F72" s="473">
        <v>25.4</v>
      </c>
      <c r="G72" s="465">
        <v>40</v>
      </c>
      <c r="H72" s="465">
        <v>37</v>
      </c>
      <c r="I72" s="465">
        <v>222</v>
      </c>
    </row>
    <row r="74" spans="2:9" x14ac:dyDescent="0.25">
      <c r="B74" s="551" t="s">
        <v>583</v>
      </c>
      <c r="C74" s="551"/>
      <c r="D74" s="551"/>
      <c r="E74" s="551"/>
      <c r="F74" s="551"/>
      <c r="G74" s="551"/>
      <c r="H74" s="551"/>
      <c r="I74" s="551"/>
    </row>
    <row r="75" spans="2:9" ht="15.75" thickBot="1" x14ac:dyDescent="0.3">
      <c r="B75" s="74" t="s">
        <v>12</v>
      </c>
      <c r="C75" s="219" t="s">
        <v>103</v>
      </c>
      <c r="D75" s="219" t="s">
        <v>104</v>
      </c>
      <c r="E75" s="219" t="s">
        <v>105</v>
      </c>
      <c r="F75" s="219" t="s">
        <v>106</v>
      </c>
      <c r="G75" s="219" t="s">
        <v>578</v>
      </c>
      <c r="H75" s="219" t="s">
        <v>579</v>
      </c>
      <c r="I75" s="219" t="s">
        <v>580</v>
      </c>
    </row>
    <row r="76" spans="2:9" x14ac:dyDescent="0.25">
      <c r="B76" s="452" t="s">
        <v>121</v>
      </c>
      <c r="C76" s="465">
        <v>27954</v>
      </c>
      <c r="D76" s="473">
        <v>4.0999999999999996</v>
      </c>
      <c r="E76" s="473">
        <v>3</v>
      </c>
      <c r="F76" s="473">
        <v>80.900000000000006</v>
      </c>
      <c r="G76" s="465">
        <v>3675</v>
      </c>
      <c r="H76" s="465">
        <v>2657</v>
      </c>
      <c r="I76" s="465">
        <v>72661</v>
      </c>
    </row>
    <row r="77" spans="2:9" x14ac:dyDescent="0.25">
      <c r="B77" s="455" t="s">
        <v>122</v>
      </c>
      <c r="C77" s="86">
        <v>11889</v>
      </c>
      <c r="D77" s="108">
        <v>2.2999999999999998</v>
      </c>
      <c r="E77" s="108">
        <v>1.8</v>
      </c>
      <c r="F77" s="108">
        <v>40.1</v>
      </c>
      <c r="G77" s="86">
        <v>894</v>
      </c>
      <c r="H77" s="86">
        <v>680</v>
      </c>
      <c r="I77" s="86">
        <v>15308</v>
      </c>
    </row>
    <row r="78" spans="2:9" x14ac:dyDescent="0.25">
      <c r="B78" s="458" t="s">
        <v>584</v>
      </c>
      <c r="C78" s="472">
        <v>39843</v>
      </c>
      <c r="D78" s="474">
        <v>3.6</v>
      </c>
      <c r="E78" s="474">
        <v>2.6</v>
      </c>
      <c r="F78" s="474">
        <v>68.7</v>
      </c>
      <c r="G78" s="472">
        <v>4569</v>
      </c>
      <c r="H78" s="472">
        <v>3336</v>
      </c>
      <c r="I78" s="472">
        <v>87969</v>
      </c>
    </row>
    <row r="79" spans="2:9" x14ac:dyDescent="0.25">
      <c r="B79" s="553" t="s">
        <v>585</v>
      </c>
      <c r="C79" s="553"/>
      <c r="D79" s="553"/>
      <c r="E79" s="553"/>
      <c r="F79" s="553"/>
      <c r="G79" s="553"/>
      <c r="H79" s="553"/>
      <c r="I79" s="553"/>
    </row>
    <row r="82" spans="2:9" x14ac:dyDescent="0.25">
      <c r="B82" s="56" t="s">
        <v>586</v>
      </c>
      <c r="C82" s="56"/>
      <c r="D82" s="56"/>
      <c r="E82" s="56"/>
      <c r="F82" s="56"/>
      <c r="G82" s="56"/>
    </row>
    <row r="83" spans="2:9" ht="15.75" thickBot="1" x14ac:dyDescent="0.3">
      <c r="B83" s="74" t="s">
        <v>587</v>
      </c>
      <c r="C83" s="451"/>
      <c r="D83" s="219" t="s">
        <v>103</v>
      </c>
      <c r="E83" s="219" t="s">
        <v>104</v>
      </c>
      <c r="F83" s="219" t="s">
        <v>578</v>
      </c>
      <c r="G83" s="219" t="s">
        <v>588</v>
      </c>
    </row>
    <row r="84" spans="2:9" x14ac:dyDescent="0.25">
      <c r="B84" s="545" t="s">
        <v>589</v>
      </c>
      <c r="C84" s="545"/>
      <c r="D84" s="424">
        <f>C64</f>
        <v>50078</v>
      </c>
      <c r="E84" s="477">
        <f>D64</f>
        <v>3.4</v>
      </c>
      <c r="F84" s="424">
        <f>G64</f>
        <v>5545</v>
      </c>
      <c r="G84" s="471">
        <v>1</v>
      </c>
    </row>
    <row r="85" spans="2:9" x14ac:dyDescent="0.25">
      <c r="B85" s="546" t="s">
        <v>17</v>
      </c>
      <c r="C85" s="546"/>
      <c r="D85" s="425">
        <f>C78</f>
        <v>39843</v>
      </c>
      <c r="E85" s="478">
        <f>D78</f>
        <v>3.6</v>
      </c>
      <c r="F85" s="425">
        <f>G78</f>
        <v>4569</v>
      </c>
      <c r="G85" s="457">
        <f>D85/D84</f>
        <v>0.79561883461799587</v>
      </c>
    </row>
    <row r="86" spans="2:9" x14ac:dyDescent="0.25">
      <c r="B86" s="547" t="s">
        <v>590</v>
      </c>
      <c r="C86" s="547"/>
      <c r="D86" s="463">
        <f>D84-D85</f>
        <v>10235</v>
      </c>
      <c r="F86" s="463">
        <f>F84-F85</f>
        <v>976</v>
      </c>
      <c r="G86" s="464">
        <f>D86/D84</f>
        <v>0.20438116538200407</v>
      </c>
    </row>
    <row r="87" spans="2:9" x14ac:dyDescent="0.25">
      <c r="B87" s="548" t="s">
        <v>594</v>
      </c>
      <c r="C87" s="548"/>
      <c r="D87" s="479">
        <f>ABS(D88)*D86</f>
        <v>4710.2301935176074</v>
      </c>
    </row>
    <row r="88" spans="2:9" x14ac:dyDescent="0.25">
      <c r="B88" s="549" t="s">
        <v>591</v>
      </c>
      <c r="C88" s="549"/>
      <c r="D88" s="454">
        <f>F53</f>
        <v>-0.46020812833586783</v>
      </c>
      <c r="E88" s="450"/>
    </row>
    <row r="89" spans="2:9" x14ac:dyDescent="0.25">
      <c r="B89" s="540" t="s">
        <v>595</v>
      </c>
      <c r="C89" s="540"/>
      <c r="D89" s="481">
        <f>D87/D84</f>
        <v>9.405787358755556E-2</v>
      </c>
      <c r="E89" s="480" t="str">
        <f>"("&amp;TEXT(D87,"#,##0")&amp;"kt of "&amp;TEXT(D86,"#,##0")&amp;"kt unconverted gap)"</f>
        <v>(4,710kt of 10,235kt unconverted gap)</v>
      </c>
      <c r="F89" s="466"/>
      <c r="G89" s="459"/>
    </row>
    <row r="91" spans="2:9" x14ac:dyDescent="0.25">
      <c r="B91" s="56" t="s">
        <v>592</v>
      </c>
      <c r="C91" s="56"/>
      <c r="D91" s="56"/>
      <c r="E91" s="56"/>
      <c r="F91" s="56"/>
      <c r="G91" s="56"/>
    </row>
    <row r="93" spans="2:9" x14ac:dyDescent="0.25">
      <c r="B93" s="544" t="str">
        <f>"At model prices ("&amp;TEXT(E48,"$#,##0")&amp;" Au, "&amp;TEXT(E49,"$#,##0")&amp;" Ag), the NSR cutoff drops "&amp;TEXT(ABS(F53),"0%")&amp;" vs. DFS assumptions — from"</f>
        <v>At model prices ($3,150 Au, $42 Ag), the NSR cutoff drops 46% vs. DFS assumptions — from</v>
      </c>
      <c r="C93" s="542"/>
      <c r="D93" s="542"/>
      <c r="E93" s="542"/>
      <c r="F93" s="542"/>
      <c r="G93" s="542"/>
      <c r="H93" s="542"/>
      <c r="I93" s="542"/>
    </row>
    <row r="94" spans="2:9" x14ac:dyDescent="0.25">
      <c r="B94" s="544" t="str">
        <f>TEXT(D53,"$#,##0.00")&amp;"/t to "&amp;TEXT(E53,"$#,##0.00")&amp;"/t. Assuming a linear grade-tonnage distribution, "&amp;TEXT(ABS(F53),"0%")&amp;" of the "&amp;TEXT(D86,"#,##0")&amp;"kt unconverted M&amp;I gap clears the new threshold ("&amp;TEXT(D87,"#,##0")&amp;"kt, or "&amp;TEXT(D89,"0.0%")&amp;" of total M&amp;I)."</f>
        <v>$24.45/t to $13.20/t. Assuming a linear grade-tonnage distribution, 46% of the 10,235kt unconverted M&amp;I gap clears the new threshold (4,710kt, or 9.4% of total M&amp;I).</v>
      </c>
      <c r="C94" s="542"/>
      <c r="D94" s="542"/>
      <c r="E94" s="542"/>
      <c r="F94" s="542"/>
      <c r="G94" s="542"/>
      <c r="H94" s="542"/>
      <c r="I94" s="542"/>
    </row>
    <row r="95" spans="2:9" x14ac:dyDescent="0.25">
      <c r="B95" s="542"/>
      <c r="C95" s="542"/>
      <c r="D95" s="542"/>
      <c r="E95" s="542"/>
      <c r="F95" s="542"/>
      <c r="G95" s="542"/>
      <c r="H95" s="542"/>
      <c r="I95" s="542"/>
    </row>
    <row r="96" spans="2:9" x14ac:dyDescent="0.25">
      <c r="B96" s="543" t="s">
        <v>596</v>
      </c>
      <c r="C96" s="542"/>
      <c r="D96" s="542"/>
      <c r="E96" s="542"/>
      <c r="F96" s="542"/>
      <c r="G96" s="542"/>
      <c r="H96" s="542"/>
      <c r="I96" s="542"/>
    </row>
    <row r="97" spans="2:9" x14ac:dyDescent="0.25">
      <c r="B97" s="482" t="s">
        <v>597</v>
      </c>
    </row>
    <row r="98" spans="2:9" x14ac:dyDescent="0.25">
      <c r="B98" s="550" t="s">
        <v>598</v>
      </c>
      <c r="C98" s="551"/>
      <c r="D98" s="551"/>
      <c r="E98" s="551"/>
      <c r="F98" s="551"/>
      <c r="G98" s="551"/>
      <c r="H98" s="551"/>
      <c r="I98" s="551"/>
    </row>
    <row r="99" spans="2:9" x14ac:dyDescent="0.25">
      <c r="B99" s="542"/>
      <c r="C99" s="542"/>
      <c r="D99" s="542"/>
      <c r="E99" s="542"/>
      <c r="F99" s="542"/>
      <c r="G99" s="542"/>
      <c r="H99" s="542"/>
      <c r="I99" s="542"/>
    </row>
    <row r="100" spans="2:9" x14ac:dyDescent="0.25">
      <c r="B100" s="543" t="s">
        <v>599</v>
      </c>
      <c r="C100" s="542"/>
      <c r="D100" s="542"/>
      <c r="E100" s="542"/>
      <c r="F100" s="542"/>
      <c r="G100" s="542"/>
      <c r="H100" s="542"/>
      <c r="I100" s="542"/>
    </row>
    <row r="101" spans="2:9" x14ac:dyDescent="0.25">
      <c r="B101" s="544" t="str">
        <f>"1.  AuEq cutoff falls "&amp;TEXT(ABS(F52),"0%")&amp;" from "&amp;TEXT(D52,"0.00")&amp;" to "&amp;TEXT(E52,"0.00")&amp;" g/t — substantial expansion of economic envelope"</f>
        <v>1.  AuEq cutoff falls 46% from 0.70 to 0.38 g/t — substantial expansion of economic envelope</v>
      </c>
      <c r="C101" s="542"/>
      <c r="D101" s="542"/>
      <c r="E101" s="542"/>
      <c r="F101" s="542"/>
      <c r="G101" s="542"/>
      <c r="H101" s="542"/>
      <c r="I101" s="542"/>
    </row>
    <row r="102" spans="2:9" x14ac:dyDescent="0.25">
      <c r="B102" s="482" t="str">
        <f>"2.  Conversion is "&amp;TEXT(D89,"0.0%")&amp;" of total M&amp;I ("&amp;TEXT(D87,"#,##0")&amp;"kt of "&amp;TEXT(D84,"#,##0")&amp;"kt) — conservative vs. the "&amp;TEXT(G86,"0%")&amp;" unconverted gap"</f>
        <v>2.  Conversion is 9.4% of total M&amp;I (4,710kt of 50,078kt) — conservative vs. the 20% unconverted gap</v>
      </c>
    </row>
    <row r="103" spans="2:9" x14ac:dyDescent="0.25">
      <c r="B103" s="482" t="str">
        <f>"3.  Underground M&amp;I ("&amp;TEXT(C71,"#,##0")&amp;"kt at "&amp;TEXT(D71,"0.0")&amp;" g/t AuEq) provides additional upside not included in conversion"</f>
        <v>3.  Underground M&amp;I (1,821kt at 6.0 g/t AuEq) provides additional upside not included in conversion</v>
      </c>
    </row>
    <row r="105" spans="2:9" x14ac:dyDescent="0.25">
      <c r="B105" s="483"/>
    </row>
    <row r="106" spans="2:9" x14ac:dyDescent="0.25">
      <c r="B106" s="482"/>
    </row>
    <row r="107" spans="2:9" x14ac:dyDescent="0.25">
      <c r="B107" s="482"/>
    </row>
    <row r="108" spans="2:9" x14ac:dyDescent="0.25">
      <c r="B108" s="482"/>
    </row>
  </sheetData>
  <mergeCells count="25">
    <mergeCell ref="B60:I60"/>
    <mergeCell ref="B67:I67"/>
    <mergeCell ref="B74:I74"/>
    <mergeCell ref="B79:I79"/>
    <mergeCell ref="B42:I42"/>
    <mergeCell ref="B43:I43"/>
    <mergeCell ref="B44:I44"/>
    <mergeCell ref="B55:H55"/>
    <mergeCell ref="B56:H56"/>
    <mergeCell ref="B89:C89"/>
    <mergeCell ref="B27:I27"/>
    <mergeCell ref="B99:I99"/>
    <mergeCell ref="B100:I100"/>
    <mergeCell ref="B101:I101"/>
    <mergeCell ref="B84:C84"/>
    <mergeCell ref="B85:C85"/>
    <mergeCell ref="B86:C86"/>
    <mergeCell ref="B87:C87"/>
    <mergeCell ref="B88:C88"/>
    <mergeCell ref="B93:I93"/>
    <mergeCell ref="B94:I94"/>
    <mergeCell ref="B95:I95"/>
    <mergeCell ref="B96:I96"/>
    <mergeCell ref="B98:I98"/>
    <mergeCell ref="B58:I58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9287-9AC4-49A9-B052-A3A2DA863070}">
  <sheetPr>
    <tabColor rgb="FFC6A54A"/>
  </sheetPr>
  <dimension ref="A4:S17"/>
  <sheetViews>
    <sheetView showGridLines="0" zoomScale="85" zoomScaleNormal="85" workbookViewId="0">
      <selection activeCell="A17" sqref="A17"/>
    </sheetView>
  </sheetViews>
  <sheetFormatPr defaultRowHeight="15" x14ac:dyDescent="0.25"/>
  <cols>
    <col min="1" max="1" width="29.85546875" bestFit="1" customWidth="1"/>
    <col min="2" max="2" width="15.7109375" bestFit="1" customWidth="1"/>
    <col min="3" max="9" width="12" bestFit="1" customWidth="1"/>
    <col min="10" max="11" width="11" bestFit="1" customWidth="1"/>
    <col min="12" max="14" width="12" bestFit="1" customWidth="1"/>
  </cols>
  <sheetData>
    <row r="4" spans="1:19" x14ac:dyDescent="0.25">
      <c r="A4" s="122" t="s">
        <v>418</v>
      </c>
      <c r="B4" s="288">
        <f>'Economic Assumptions'!C7/'Economic Assumptions'!C8</f>
        <v>75</v>
      </c>
    </row>
    <row r="6" spans="1:19" ht="15.75" thickBot="1" x14ac:dyDescent="0.3">
      <c r="A6" s="74"/>
      <c r="B6" s="219" t="s">
        <v>21</v>
      </c>
      <c r="C6" s="220">
        <f>'NAV Model'!F56</f>
        <v>2027</v>
      </c>
      <c r="D6" s="220">
        <f>'NAV Model'!G56</f>
        <v>2028</v>
      </c>
      <c r="E6" s="220">
        <f>'NAV Model'!H56</f>
        <v>2029</v>
      </c>
      <c r="F6" s="220">
        <f>'NAV Model'!I56</f>
        <v>2030</v>
      </c>
      <c r="G6" s="220">
        <f>'NAV Model'!J56</f>
        <v>2031</v>
      </c>
      <c r="H6" s="220">
        <f>'NAV Model'!K56</f>
        <v>2032</v>
      </c>
      <c r="I6" s="220">
        <f>'NAV Model'!L56</f>
        <v>2033</v>
      </c>
      <c r="J6" s="220">
        <f>'NAV Model'!M56</f>
        <v>2034</v>
      </c>
      <c r="K6" s="220">
        <f>'NAV Model'!N56</f>
        <v>2035</v>
      </c>
      <c r="L6" s="220">
        <f>'NAV Model'!O56</f>
        <v>2036</v>
      </c>
      <c r="M6" s="220">
        <f>'NAV Model'!P56</f>
        <v>2037</v>
      </c>
      <c r="N6" s="220">
        <f>'NAV Model'!Q56</f>
        <v>2038</v>
      </c>
      <c r="O6" s="287"/>
      <c r="P6" s="287"/>
      <c r="Q6" s="287"/>
      <c r="R6" s="287"/>
      <c r="S6" s="287"/>
    </row>
    <row r="8" spans="1:19" x14ac:dyDescent="0.25">
      <c r="A8" s="289" t="s">
        <v>422</v>
      </c>
      <c r="B8" s="225" t="s">
        <v>162</v>
      </c>
      <c r="C8" s="226">
        <f>'NAV Model'!F90</f>
        <v>602.60927808887948</v>
      </c>
      <c r="D8" s="226">
        <f>'NAV Model'!G90</f>
        <v>825.31358710354993</v>
      </c>
      <c r="E8" s="226">
        <f>'NAV Model'!H90</f>
        <v>724.77130457070666</v>
      </c>
      <c r="F8" s="226">
        <f>'NAV Model'!I90</f>
        <v>751.48141328493193</v>
      </c>
      <c r="G8" s="226">
        <f>'NAV Model'!J90</f>
        <v>698.52130457070666</v>
      </c>
      <c r="H8" s="226">
        <f>'NAV Model'!K90</f>
        <v>506.83894394646893</v>
      </c>
      <c r="I8" s="226">
        <f>'NAV Model'!L90</f>
        <v>834.42631102864902</v>
      </c>
      <c r="J8" s="226">
        <f>'NAV Model'!M90</f>
        <v>626.73461190555122</v>
      </c>
      <c r="K8" s="226">
        <f>'NAV Model'!N90</f>
        <v>925.18234762025463</v>
      </c>
      <c r="L8" s="226">
        <f>'NAV Model'!O90</f>
        <v>1283.5570958527896</v>
      </c>
      <c r="M8" s="226">
        <f>'NAV Model'!P90</f>
        <v>1895.1374886930407</v>
      </c>
      <c r="N8" s="226">
        <f>'NAV Model'!Q90</f>
        <v>1942.7061626274372</v>
      </c>
    </row>
    <row r="10" spans="1:19" x14ac:dyDescent="0.25">
      <c r="A10" s="78" t="s">
        <v>419</v>
      </c>
      <c r="B10" s="79" t="s">
        <v>31</v>
      </c>
      <c r="C10" s="222">
        <f>'NAV Model'!F62</f>
        <v>394939.47626472905</v>
      </c>
      <c r="D10" s="222">
        <f>'NAV Model'!G62</f>
        <v>273095.31081711053</v>
      </c>
      <c r="E10" s="222">
        <f>'NAV Model'!H62</f>
        <v>312215.66704711685</v>
      </c>
      <c r="F10" s="222">
        <f>'NAV Model'!I62</f>
        <v>288199.07727426174</v>
      </c>
      <c r="G10" s="222">
        <f>'NAV Model'!J62</f>
        <v>312215.66704711685</v>
      </c>
      <c r="H10" s="222">
        <f>'NAV Model'!K62</f>
        <v>309093.51037664566</v>
      </c>
      <c r="I10" s="222">
        <f>'NAV Model'!L62</f>
        <v>177455.91332165187</v>
      </c>
      <c r="J10" s="222">
        <f>'NAV Model'!M62</f>
        <v>242834.4077033131</v>
      </c>
      <c r="K10" s="222">
        <f>'NAV Model'!N62</f>
        <v>158776.34349832012</v>
      </c>
      <c r="L10" s="222">
        <f>'NAV Model'!O62</f>
        <v>112397.64013696206</v>
      </c>
      <c r="M10" s="222">
        <f>'NAV Model'!P62</f>
        <v>74718.279293327127</v>
      </c>
      <c r="N10" s="222">
        <f>'NAV Model'!Q62</f>
        <v>67673.412959956273</v>
      </c>
    </row>
    <row r="11" spans="1:19" x14ac:dyDescent="0.25">
      <c r="A11" s="85" t="s">
        <v>420</v>
      </c>
      <c r="B11" s="48" t="s">
        <v>31</v>
      </c>
      <c r="C11" s="39">
        <f>'NAV Model'!F65</f>
        <v>7915348.4334560428</v>
      </c>
      <c r="D11" s="39">
        <f>'NAV Model'!G65</f>
        <v>7573507.8045879072</v>
      </c>
      <c r="E11" s="39">
        <f>'NAV Model'!H65</f>
        <v>10111273.650875306</v>
      </c>
      <c r="F11" s="39">
        <f>'NAV Model'!I65</f>
        <v>8891250.1808478143</v>
      </c>
      <c r="G11" s="39">
        <f>'NAV Model'!J65</f>
        <v>12955069.365183983</v>
      </c>
      <c r="H11" s="39">
        <f>'NAV Model'!K65</f>
        <v>6469635.2500522444</v>
      </c>
      <c r="I11" s="39">
        <f>'NAV Model'!L65</f>
        <v>4188162.1039432865</v>
      </c>
      <c r="J11" s="39">
        <f>'NAV Model'!M65</f>
        <v>9789444.9177745264</v>
      </c>
      <c r="K11" s="39">
        <f>'NAV Model'!N65</f>
        <v>6215683.1224781787</v>
      </c>
      <c r="L11" s="39">
        <f>'NAV Model'!O65</f>
        <v>2423545.9031941742</v>
      </c>
      <c r="M11" s="39">
        <f>'NAV Model'!P65</f>
        <v>1402880.7047438389</v>
      </c>
      <c r="N11" s="39">
        <f>'NAV Model'!Q65</f>
        <v>1057295.1597087143</v>
      </c>
    </row>
    <row r="12" spans="1:19" ht="15.75" thickBot="1" x14ac:dyDescent="0.3">
      <c r="A12" s="219" t="s">
        <v>421</v>
      </c>
      <c r="B12" s="220" t="s">
        <v>31</v>
      </c>
      <c r="C12" s="220">
        <f>C11/$B$4</f>
        <v>105537.97911274724</v>
      </c>
      <c r="D12" s="220">
        <f t="shared" ref="D12:N12" si="0">D11/$B$4</f>
        <v>100980.1040611721</v>
      </c>
      <c r="E12" s="220">
        <f t="shared" si="0"/>
        <v>134816.98201167074</v>
      </c>
      <c r="F12" s="220">
        <f t="shared" si="0"/>
        <v>118550.00241130419</v>
      </c>
      <c r="G12" s="220">
        <f t="shared" si="0"/>
        <v>172734.25820245311</v>
      </c>
      <c r="H12" s="220">
        <f t="shared" si="0"/>
        <v>86261.80333402993</v>
      </c>
      <c r="I12" s="220">
        <f t="shared" si="0"/>
        <v>55842.161385910484</v>
      </c>
      <c r="J12" s="220">
        <f t="shared" si="0"/>
        <v>130525.93223699369</v>
      </c>
      <c r="K12" s="220">
        <f t="shared" si="0"/>
        <v>82875.774966375713</v>
      </c>
      <c r="L12" s="220">
        <f t="shared" si="0"/>
        <v>32313.945375922322</v>
      </c>
      <c r="M12" s="220">
        <f t="shared" si="0"/>
        <v>18705.076063251185</v>
      </c>
      <c r="N12" s="219">
        <f t="shared" si="0"/>
        <v>14097.268796116192</v>
      </c>
    </row>
    <row r="13" spans="1:19" x14ac:dyDescent="0.25">
      <c r="A13" s="289" t="s">
        <v>423</v>
      </c>
      <c r="B13" s="225" t="s">
        <v>181</v>
      </c>
      <c r="C13" s="226">
        <f>SUM(C12,C10)/1000</f>
        <v>500.4774553774763</v>
      </c>
      <c r="D13" s="226">
        <f t="shared" ref="D13:N13" si="1">SUM(D12,D10)/1000</f>
        <v>374.07541487828263</v>
      </c>
      <c r="E13" s="226">
        <f t="shared" si="1"/>
        <v>447.03264905878763</v>
      </c>
      <c r="F13" s="226">
        <f t="shared" si="1"/>
        <v>406.7490796855659</v>
      </c>
      <c r="G13" s="226">
        <f t="shared" si="1"/>
        <v>484.94992524956996</v>
      </c>
      <c r="H13" s="226">
        <f t="shared" si="1"/>
        <v>395.3553137106756</v>
      </c>
      <c r="I13" s="226">
        <f t="shared" si="1"/>
        <v>233.29807470756234</v>
      </c>
      <c r="J13" s="226">
        <f t="shared" si="1"/>
        <v>373.3603399403068</v>
      </c>
      <c r="K13" s="226">
        <f t="shared" si="1"/>
        <v>241.6521184646958</v>
      </c>
      <c r="L13" s="226">
        <f t="shared" si="1"/>
        <v>144.71158551288437</v>
      </c>
      <c r="M13" s="226">
        <f t="shared" si="1"/>
        <v>93.423355356578313</v>
      </c>
      <c r="N13" s="226">
        <f t="shared" si="1"/>
        <v>81.770681756072463</v>
      </c>
    </row>
    <row r="15" spans="1:19" ht="15.75" thickBot="1" x14ac:dyDescent="0.3">
      <c r="A15" s="74" t="s">
        <v>538</v>
      </c>
      <c r="B15" s="219"/>
      <c r="C15" s="220">
        <f>C6</f>
        <v>2027</v>
      </c>
      <c r="D15" s="220">
        <f t="shared" ref="D15:N15" si="2">D6</f>
        <v>2028</v>
      </c>
      <c r="E15" s="220">
        <f t="shared" si="2"/>
        <v>2029</v>
      </c>
      <c r="F15" s="220">
        <f t="shared" si="2"/>
        <v>2030</v>
      </c>
      <c r="G15" s="220">
        <f t="shared" si="2"/>
        <v>2031</v>
      </c>
      <c r="H15" s="220">
        <f t="shared" si="2"/>
        <v>2032</v>
      </c>
      <c r="I15" s="220">
        <f t="shared" si="2"/>
        <v>2033</v>
      </c>
      <c r="J15" s="220">
        <f t="shared" si="2"/>
        <v>2034</v>
      </c>
      <c r="K15" s="220">
        <f t="shared" si="2"/>
        <v>2035</v>
      </c>
      <c r="L15" s="220">
        <f t="shared" si="2"/>
        <v>2036</v>
      </c>
      <c r="M15" s="220">
        <f t="shared" si="2"/>
        <v>2037</v>
      </c>
      <c r="N15" s="220">
        <f t="shared" si="2"/>
        <v>2038</v>
      </c>
      <c r="O15" s="287"/>
      <c r="P15" s="287"/>
      <c r="Q15" s="287"/>
      <c r="R15" s="287"/>
      <c r="S15" s="287"/>
    </row>
    <row r="16" spans="1:19" x14ac:dyDescent="0.25">
      <c r="A16" s="289" t="s">
        <v>538</v>
      </c>
      <c r="B16" s="225" t="str">
        <f>'NAV Model'!C81</f>
        <v>US$ mm</v>
      </c>
      <c r="C16" s="226">
        <f>'NAV Model'!F81-'NAV Model'!F79</f>
        <v>1132.2133494902569</v>
      </c>
      <c r="D16" s="226">
        <f>'NAV Model'!G81-'NAV Model'!G79</f>
        <v>1475.1337740651099</v>
      </c>
      <c r="E16" s="226">
        <f>'NAV Model'!H81-'NAV Model'!H79</f>
        <v>1389.3621407417411</v>
      </c>
      <c r="F16" s="226">
        <f>'NAV Model'!I81-'NAV Model'!I79</f>
        <v>1086.589844586844</v>
      </c>
      <c r="G16" s="226">
        <f>'NAV Model'!J81-'NAV Model'!J79</f>
        <v>1362.9114468768539</v>
      </c>
      <c r="H16" s="226">
        <f>'NAV Model'!K81-'NAV Model'!K79</f>
        <v>710.42258295108809</v>
      </c>
      <c r="I16" s="226">
        <f>'NAV Model'!L81-'NAV Model'!L79</f>
        <v>918.09695557682119</v>
      </c>
      <c r="J16" s="226">
        <f>'NAV Model'!M81-'NAV Model'!M79</f>
        <v>1384.7517647770123</v>
      </c>
      <c r="K16" s="226">
        <f>'NAV Model'!N81-'NAV Model'!N79</f>
        <v>1485.8844873233288</v>
      </c>
      <c r="L16" s="226">
        <f>'NAV Model'!O81-'NAV Model'!O79</f>
        <v>906.87093135702412</v>
      </c>
      <c r="M16" s="226">
        <f>'NAV Model'!P81-'NAV Model'!P79</f>
        <v>832.40613642309609</v>
      </c>
      <c r="N16" s="226">
        <f>'NAV Model'!Q81-'NAV Model'!Q79</f>
        <v>704.84414590062374</v>
      </c>
    </row>
    <row r="17" spans="1:14" x14ac:dyDescent="0.25">
      <c r="A17" s="388" t="s">
        <v>506</v>
      </c>
      <c r="B17" s="79" t="str">
        <f>'NAV Model'!C88</f>
        <v>US$ mm</v>
      </c>
      <c r="C17" s="222">
        <f>'NAV Model'!F88</f>
        <v>34.142335766423351</v>
      </c>
      <c r="D17" s="222">
        <f>'NAV Model'!G88</f>
        <v>34.142335766423351</v>
      </c>
      <c r="E17" s="222">
        <f>'NAV Model'!H88</f>
        <v>34.142335766423351</v>
      </c>
      <c r="F17" s="222">
        <f>'NAV Model'!I88</f>
        <v>34.142335766423351</v>
      </c>
      <c r="G17" s="222">
        <f>'NAV Model'!J88</f>
        <v>34.142335766423351</v>
      </c>
      <c r="H17" s="222">
        <f>'NAV Model'!K88</f>
        <v>40.492700729927002</v>
      </c>
      <c r="I17" s="222">
        <f>'NAV Model'!L88</f>
        <v>34.142335766423351</v>
      </c>
      <c r="J17" s="222">
        <f>'NAV Model'!M88</f>
        <v>34.142335766423351</v>
      </c>
      <c r="K17" s="222">
        <f>'NAV Model'!N88</f>
        <v>34.142335766423351</v>
      </c>
      <c r="L17" s="222">
        <f>'NAV Model'!O88</f>
        <v>34.142335766423351</v>
      </c>
      <c r="M17" s="222">
        <f>'NAV Model'!P88</f>
        <v>34.142335766423351</v>
      </c>
      <c r="N17" s="222">
        <f>'NAV Model'!Q88</f>
        <v>161.73357664233575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9262-0A40-498D-8AD8-409BFD2C98DE}">
  <sheetPr>
    <tabColor rgb="FF5A6772"/>
  </sheetPr>
  <dimension ref="A1"/>
  <sheetViews>
    <sheetView workbookViewId="0">
      <selection activeCell="U14" sqref="U14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32A8-218C-4EA8-90B8-36C584F604BD}">
  <sheetPr>
    <tabColor rgb="FF0B1F3B"/>
  </sheetPr>
  <dimension ref="A1:H28"/>
  <sheetViews>
    <sheetView showGridLines="0" zoomScaleNormal="100" workbookViewId="0">
      <selection activeCell="B20" sqref="B20"/>
    </sheetView>
  </sheetViews>
  <sheetFormatPr defaultRowHeight="15" x14ac:dyDescent="0.25"/>
  <cols>
    <col min="1" max="1" width="50.42578125" bestFit="1" customWidth="1"/>
    <col min="2" max="2" width="12.5703125" bestFit="1" customWidth="1"/>
    <col min="3" max="3" width="10.140625" bestFit="1" customWidth="1"/>
    <col min="4" max="4" width="13.5703125" bestFit="1" customWidth="1"/>
    <col min="5" max="5" width="11.140625" bestFit="1" customWidth="1"/>
    <col min="6" max="6" width="13.5703125" bestFit="1" customWidth="1"/>
    <col min="7" max="7" width="11.140625" bestFit="1" customWidth="1"/>
    <col min="8" max="8" width="11" bestFit="1" customWidth="1"/>
  </cols>
  <sheetData>
    <row r="1" spans="1:8" ht="15.75" x14ac:dyDescent="0.25">
      <c r="A1" s="67" t="s">
        <v>67</v>
      </c>
      <c r="B1" s="2"/>
      <c r="C1" s="2"/>
      <c r="D1" s="2"/>
      <c r="E1" s="2"/>
      <c r="F1" s="2"/>
      <c r="G1" s="2"/>
      <c r="H1" s="2"/>
    </row>
    <row r="2" spans="1:8" x14ac:dyDescent="0.25">
      <c r="A2" s="7" t="s">
        <v>124</v>
      </c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5.75" thickBot="1" x14ac:dyDescent="0.3">
      <c r="A4" s="227" t="s">
        <v>12</v>
      </c>
      <c r="B4" s="228" t="s">
        <v>103</v>
      </c>
      <c r="C4" s="228" t="s">
        <v>104</v>
      </c>
      <c r="D4" s="228" t="s">
        <v>105</v>
      </c>
      <c r="E4" s="228" t="s">
        <v>106</v>
      </c>
      <c r="F4" s="228" t="s">
        <v>107</v>
      </c>
      <c r="G4" s="228" t="s">
        <v>108</v>
      </c>
      <c r="H4" s="228" t="s">
        <v>109</v>
      </c>
    </row>
    <row r="5" spans="1:8" x14ac:dyDescent="0.25">
      <c r="A5" s="122" t="s">
        <v>110</v>
      </c>
      <c r="B5" s="229">
        <v>27814</v>
      </c>
      <c r="C5" s="230">
        <v>4.5999999999999996</v>
      </c>
      <c r="D5" s="230">
        <v>3.3</v>
      </c>
      <c r="E5" s="230">
        <v>87.9</v>
      </c>
      <c r="F5" s="229">
        <v>4077</v>
      </c>
      <c r="G5" s="229">
        <v>2964</v>
      </c>
      <c r="H5" s="229">
        <v>78560</v>
      </c>
    </row>
    <row r="6" spans="1:8" x14ac:dyDescent="0.25">
      <c r="A6" s="231" t="s">
        <v>111</v>
      </c>
      <c r="B6" s="232">
        <v>22264</v>
      </c>
      <c r="C6" s="233">
        <v>2.1</v>
      </c>
      <c r="D6" s="233">
        <v>1.6</v>
      </c>
      <c r="E6" s="233">
        <v>32</v>
      </c>
      <c r="F6" s="232">
        <v>1468</v>
      </c>
      <c r="G6" s="232">
        <v>1144</v>
      </c>
      <c r="H6" s="232">
        <v>22876</v>
      </c>
    </row>
    <row r="7" spans="1:8" x14ac:dyDescent="0.25">
      <c r="A7" s="300" t="s">
        <v>112</v>
      </c>
      <c r="B7" s="301">
        <v>50078</v>
      </c>
      <c r="C7" s="302">
        <v>3.4</v>
      </c>
      <c r="D7" s="302">
        <v>2.6</v>
      </c>
      <c r="E7" s="302">
        <v>63</v>
      </c>
      <c r="F7" s="301">
        <v>5545</v>
      </c>
      <c r="G7" s="301">
        <v>4107</v>
      </c>
      <c r="H7" s="301">
        <v>101436</v>
      </c>
    </row>
    <row r="8" spans="1:8" x14ac:dyDescent="0.25">
      <c r="A8" s="234" t="s">
        <v>113</v>
      </c>
      <c r="B8" s="229">
        <v>652</v>
      </c>
      <c r="C8" s="230">
        <v>1.9</v>
      </c>
      <c r="D8" s="230">
        <v>1.5</v>
      </c>
      <c r="E8" s="230">
        <v>32.4</v>
      </c>
      <c r="F8" s="229">
        <v>40</v>
      </c>
      <c r="G8" s="229">
        <v>30</v>
      </c>
      <c r="H8" s="229">
        <v>680</v>
      </c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ht="15.75" x14ac:dyDescent="0.25">
      <c r="A11" s="67" t="s">
        <v>120</v>
      </c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ht="15.75" thickBot="1" x14ac:dyDescent="0.3">
      <c r="A13" s="227" t="s">
        <v>12</v>
      </c>
      <c r="B13" s="228" t="s">
        <v>103</v>
      </c>
      <c r="C13" s="228" t="s">
        <v>104</v>
      </c>
      <c r="D13" s="228" t="s">
        <v>105</v>
      </c>
      <c r="E13" s="228" t="s">
        <v>106</v>
      </c>
      <c r="F13" s="228" t="s">
        <v>107</v>
      </c>
      <c r="G13" s="228" t="s">
        <v>108</v>
      </c>
      <c r="H13" s="228" t="s">
        <v>109</v>
      </c>
    </row>
    <row r="14" spans="1:8" x14ac:dyDescent="0.25">
      <c r="A14" s="122" t="s">
        <v>121</v>
      </c>
      <c r="B14" s="229">
        <v>27954</v>
      </c>
      <c r="C14" s="230">
        <v>4.0999999999999996</v>
      </c>
      <c r="D14" s="230">
        <v>3</v>
      </c>
      <c r="E14" s="230">
        <v>80.900000000000006</v>
      </c>
      <c r="F14" s="229">
        <v>3675</v>
      </c>
      <c r="G14" s="229">
        <v>2657</v>
      </c>
      <c r="H14" s="229">
        <v>72661</v>
      </c>
    </row>
    <row r="15" spans="1:8" x14ac:dyDescent="0.25">
      <c r="A15" s="231" t="s">
        <v>122</v>
      </c>
      <c r="B15" s="232">
        <v>11889</v>
      </c>
      <c r="C15" s="233">
        <v>2.2999999999999998</v>
      </c>
      <c r="D15" s="233">
        <v>1.8</v>
      </c>
      <c r="E15" s="233">
        <v>40.1</v>
      </c>
      <c r="F15" s="232">
        <v>894</v>
      </c>
      <c r="G15" s="232">
        <v>680</v>
      </c>
      <c r="H15" s="232">
        <v>15308</v>
      </c>
    </row>
    <row r="16" spans="1:8" ht="15.75" thickBot="1" x14ac:dyDescent="0.3">
      <c r="A16" s="297" t="s">
        <v>123</v>
      </c>
      <c r="B16" s="298">
        <v>39843</v>
      </c>
      <c r="C16" s="299">
        <v>3.6</v>
      </c>
      <c r="D16" s="299">
        <v>2.6</v>
      </c>
      <c r="E16" s="299">
        <v>68.7</v>
      </c>
      <c r="F16" s="298">
        <v>4569</v>
      </c>
      <c r="G16" s="298">
        <v>3336</v>
      </c>
      <c r="H16" s="298">
        <v>87969</v>
      </c>
    </row>
    <row r="17" spans="1:8" ht="15.75" thickTop="1" x14ac:dyDescent="0.25">
      <c r="A17" s="2"/>
      <c r="B17" s="2"/>
      <c r="C17" s="2"/>
      <c r="D17" s="2"/>
      <c r="E17" s="2"/>
      <c r="F17" s="2"/>
      <c r="G17" s="2"/>
      <c r="H17" s="2"/>
    </row>
    <row r="18" spans="1:8" ht="15.75" x14ac:dyDescent="0.25">
      <c r="A18" s="484" t="s">
        <v>600</v>
      </c>
    </row>
    <row r="19" spans="1:8" x14ac:dyDescent="0.25">
      <c r="E19" s="486" t="s">
        <v>407</v>
      </c>
      <c r="F19" s="491">
        <f>'Thesis 2'!D89</f>
        <v>9.405787358755556E-2</v>
      </c>
    </row>
    <row r="20" spans="1:8" ht="15.75" thickBot="1" x14ac:dyDescent="0.3">
      <c r="A20" s="489" t="s">
        <v>12</v>
      </c>
      <c r="B20" s="310" t="s">
        <v>103</v>
      </c>
      <c r="C20" s="310" t="s">
        <v>104</v>
      </c>
      <c r="D20" s="310" t="s">
        <v>107</v>
      </c>
    </row>
    <row r="21" spans="1:8" x14ac:dyDescent="0.25">
      <c r="A21" s="490" t="s">
        <v>601</v>
      </c>
      <c r="B21" s="497">
        <f>B7</f>
        <v>50078</v>
      </c>
      <c r="C21" s="492">
        <f>C7</f>
        <v>3.4</v>
      </c>
      <c r="D21" s="497">
        <f>F7</f>
        <v>5545</v>
      </c>
    </row>
    <row r="22" spans="1:8" x14ac:dyDescent="0.25">
      <c r="A22" s="487" t="str">
        <f>"Cutoff-Implied Conversion ("&amp;TEXT(F19,"0.0%")&amp;")"</f>
        <v>Cutoff-Implied Conversion (9.4%)</v>
      </c>
      <c r="B22" s="498">
        <f>B21*F19</f>
        <v>4710.2301935176074</v>
      </c>
      <c r="C22" s="493">
        <f>C21</f>
        <v>3.4</v>
      </c>
      <c r="D22" s="498">
        <f>D21*F19</f>
        <v>521.55090904299561</v>
      </c>
    </row>
    <row r="23" spans="1:8" x14ac:dyDescent="0.25">
      <c r="B23" s="499"/>
      <c r="C23" s="494"/>
      <c r="D23" s="499"/>
    </row>
    <row r="24" spans="1:8" x14ac:dyDescent="0.25">
      <c r="A24" s="485" t="s">
        <v>602</v>
      </c>
      <c r="B24" s="500">
        <f>B16</f>
        <v>39843</v>
      </c>
      <c r="C24" s="495">
        <f>C16</f>
        <v>3.6</v>
      </c>
      <c r="D24" s="500">
        <f>F16</f>
        <v>4569</v>
      </c>
    </row>
    <row r="25" spans="1:8" x14ac:dyDescent="0.25">
      <c r="A25" s="487" t="s">
        <v>603</v>
      </c>
      <c r="B25" s="501">
        <f>B22</f>
        <v>4710.2301935176074</v>
      </c>
      <c r="C25" s="496">
        <f>C22</f>
        <v>3.4</v>
      </c>
      <c r="D25" s="501">
        <f>D22</f>
        <v>521.55090904299561</v>
      </c>
    </row>
    <row r="26" spans="1:8" x14ac:dyDescent="0.25">
      <c r="B26" s="499"/>
      <c r="C26" s="499"/>
      <c r="D26" s="499"/>
    </row>
    <row r="27" spans="1:8" ht="15.75" thickBot="1" x14ac:dyDescent="0.3">
      <c r="A27" s="488" t="s">
        <v>604</v>
      </c>
      <c r="B27" s="502">
        <f>B24+B25</f>
        <v>44553.230193517607</v>
      </c>
      <c r="C27" s="502"/>
      <c r="D27" s="502">
        <f>D24+D25</f>
        <v>5090.550909042996</v>
      </c>
    </row>
    <row r="28" spans="1:8" ht="15.75" thickTop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BF9D-2932-42F8-8B15-2572DCE5B922}">
  <sheetPr>
    <tabColor rgb="FF0B1F3B"/>
  </sheetPr>
  <dimension ref="A1:S25"/>
  <sheetViews>
    <sheetView showGridLines="0" workbookViewId="0">
      <selection activeCell="R24" sqref="A4:R24"/>
    </sheetView>
  </sheetViews>
  <sheetFormatPr defaultRowHeight="15" x14ac:dyDescent="0.25"/>
  <cols>
    <col min="1" max="1" width="33.28515625" customWidth="1"/>
    <col min="2" max="2" width="8.5703125" customWidth="1"/>
    <col min="3" max="18" width="11" customWidth="1"/>
  </cols>
  <sheetData>
    <row r="1" spans="1:19" ht="15.75" x14ac:dyDescent="0.25">
      <c r="A1" s="67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7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56" t="s">
        <v>126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237"/>
    </row>
    <row r="5" spans="1:19" ht="15.75" thickBot="1" x14ac:dyDescent="0.3">
      <c r="A5" s="72" t="s">
        <v>74</v>
      </c>
      <c r="B5" s="73" t="s">
        <v>21</v>
      </c>
      <c r="C5" s="73" t="s">
        <v>127</v>
      </c>
      <c r="D5" s="73" t="s">
        <v>128</v>
      </c>
      <c r="E5" s="73" t="s">
        <v>129</v>
      </c>
      <c r="F5" s="73" t="s">
        <v>130</v>
      </c>
      <c r="G5" s="73" t="s">
        <v>131</v>
      </c>
      <c r="H5" s="73" t="s">
        <v>132</v>
      </c>
      <c r="I5" s="73" t="s">
        <v>133</v>
      </c>
      <c r="J5" s="73" t="s">
        <v>134</v>
      </c>
      <c r="K5" s="73" t="s">
        <v>135</v>
      </c>
      <c r="L5" s="73" t="s">
        <v>136</v>
      </c>
      <c r="M5" s="73" t="s">
        <v>137</v>
      </c>
      <c r="N5" s="73" t="s">
        <v>138</v>
      </c>
      <c r="O5" s="73" t="s">
        <v>139</v>
      </c>
      <c r="P5" s="73" t="s">
        <v>140</v>
      </c>
      <c r="Q5" s="73" t="s">
        <v>141</v>
      </c>
      <c r="R5" s="73" t="s">
        <v>91</v>
      </c>
      <c r="S5" s="2"/>
    </row>
    <row r="6" spans="1:19" x14ac:dyDescent="0.25">
      <c r="A6" s="59" t="s">
        <v>142</v>
      </c>
      <c r="B6" s="106" t="s">
        <v>25</v>
      </c>
      <c r="C6" s="238">
        <v>1.62</v>
      </c>
      <c r="D6" s="238">
        <v>6.29</v>
      </c>
      <c r="E6" s="238">
        <v>9.26</v>
      </c>
      <c r="F6" s="238">
        <v>24.97</v>
      </c>
      <c r="G6" s="238">
        <v>21.31</v>
      </c>
      <c r="H6" s="238">
        <v>26.01</v>
      </c>
      <c r="I6" s="238">
        <v>21.29</v>
      </c>
      <c r="J6" s="238">
        <v>20.36</v>
      </c>
      <c r="K6" s="238">
        <v>10.029999999999999</v>
      </c>
      <c r="L6" s="238">
        <v>11.9</v>
      </c>
      <c r="M6" s="238">
        <v>11.48</v>
      </c>
      <c r="N6" s="238">
        <v>1.99</v>
      </c>
      <c r="O6" s="239">
        <v>0</v>
      </c>
      <c r="P6" s="239">
        <v>0</v>
      </c>
      <c r="Q6" s="239">
        <v>0</v>
      </c>
      <c r="R6" s="240">
        <v>166.5</v>
      </c>
      <c r="S6" s="2"/>
    </row>
    <row r="7" spans="1:19" x14ac:dyDescent="0.25">
      <c r="A7" s="61" t="s">
        <v>143</v>
      </c>
      <c r="B7" s="48" t="s">
        <v>25</v>
      </c>
      <c r="C7" s="241">
        <v>0.33</v>
      </c>
      <c r="D7" s="241">
        <v>2.27</v>
      </c>
      <c r="E7" s="241">
        <v>8.01</v>
      </c>
      <c r="F7" s="241">
        <v>15.26</v>
      </c>
      <c r="G7" s="241">
        <v>18.07</v>
      </c>
      <c r="H7" s="241">
        <v>20.010000000000002</v>
      </c>
      <c r="I7" s="241">
        <v>18.809999999999999</v>
      </c>
      <c r="J7" s="241">
        <v>17.93</v>
      </c>
      <c r="K7" s="241">
        <v>22.29</v>
      </c>
      <c r="L7" s="241">
        <v>8.84</v>
      </c>
      <c r="M7" s="241">
        <v>9.6999999999999993</v>
      </c>
      <c r="N7" s="241">
        <v>9.85</v>
      </c>
      <c r="O7" s="242">
        <v>0</v>
      </c>
      <c r="P7" s="242">
        <v>0</v>
      </c>
      <c r="Q7" s="242">
        <v>0</v>
      </c>
      <c r="R7" s="243">
        <v>151.38999999999999</v>
      </c>
      <c r="S7" s="2"/>
    </row>
    <row r="8" spans="1:19" x14ac:dyDescent="0.25">
      <c r="A8" s="244" t="s">
        <v>144</v>
      </c>
      <c r="B8" s="106" t="s">
        <v>25</v>
      </c>
      <c r="C8" s="240">
        <v>1.95</v>
      </c>
      <c r="D8" s="240">
        <v>8.57</v>
      </c>
      <c r="E8" s="240">
        <v>17.27</v>
      </c>
      <c r="F8" s="240">
        <v>40.229999999999997</v>
      </c>
      <c r="G8" s="240">
        <v>39.380000000000003</v>
      </c>
      <c r="H8" s="240">
        <v>46.03</v>
      </c>
      <c r="I8" s="240">
        <v>40.1</v>
      </c>
      <c r="J8" s="240">
        <v>38.29</v>
      </c>
      <c r="K8" s="240">
        <v>32.32</v>
      </c>
      <c r="L8" s="240">
        <v>20.74</v>
      </c>
      <c r="M8" s="240">
        <v>21.18</v>
      </c>
      <c r="N8" s="240">
        <v>11.85</v>
      </c>
      <c r="O8" s="245">
        <v>0</v>
      </c>
      <c r="P8" s="245">
        <v>0</v>
      </c>
      <c r="Q8" s="245">
        <v>0</v>
      </c>
      <c r="R8" s="240">
        <v>317.89</v>
      </c>
      <c r="S8" s="2"/>
    </row>
    <row r="9" spans="1:19" x14ac:dyDescent="0.25">
      <c r="A9" s="244" t="s">
        <v>145</v>
      </c>
      <c r="B9" s="106" t="s">
        <v>25</v>
      </c>
      <c r="C9" s="245">
        <v>0</v>
      </c>
      <c r="D9" s="240">
        <v>0.06</v>
      </c>
      <c r="E9" s="240">
        <v>1.49</v>
      </c>
      <c r="F9" s="240">
        <v>5.69</v>
      </c>
      <c r="G9" s="240">
        <v>4.74</v>
      </c>
      <c r="H9" s="240">
        <v>3.93</v>
      </c>
      <c r="I9" s="240">
        <v>4.79</v>
      </c>
      <c r="J9" s="240">
        <v>5.21</v>
      </c>
      <c r="K9" s="240">
        <v>5.0199999999999996</v>
      </c>
      <c r="L9" s="240">
        <v>1.38</v>
      </c>
      <c r="M9" s="240">
        <v>3.47</v>
      </c>
      <c r="N9" s="240">
        <v>4.0599999999999996</v>
      </c>
      <c r="O9" s="245">
        <v>0</v>
      </c>
      <c r="P9" s="245">
        <v>0</v>
      </c>
      <c r="Q9" s="245">
        <v>0</v>
      </c>
      <c r="R9" s="240">
        <v>39.840000000000003</v>
      </c>
      <c r="S9" s="2"/>
    </row>
    <row r="10" spans="1:19" x14ac:dyDescent="0.25">
      <c r="A10" s="59" t="s">
        <v>146</v>
      </c>
      <c r="B10" s="106" t="s">
        <v>147</v>
      </c>
      <c r="C10" s="246">
        <v>0</v>
      </c>
      <c r="D10" s="247">
        <v>4.2</v>
      </c>
      <c r="E10" s="247">
        <v>1.7</v>
      </c>
      <c r="F10" s="247">
        <v>3</v>
      </c>
      <c r="G10" s="247">
        <v>2.5</v>
      </c>
      <c r="H10" s="247">
        <v>3.3</v>
      </c>
      <c r="I10" s="247">
        <v>2.7</v>
      </c>
      <c r="J10" s="247">
        <v>2.7</v>
      </c>
      <c r="K10" s="247">
        <v>2.6</v>
      </c>
      <c r="L10" s="247">
        <v>2.8</v>
      </c>
      <c r="M10" s="247">
        <v>2.6</v>
      </c>
      <c r="N10" s="247">
        <v>1.5</v>
      </c>
      <c r="O10" s="246">
        <v>0</v>
      </c>
      <c r="P10" s="246">
        <v>0</v>
      </c>
      <c r="Q10" s="246">
        <v>0</v>
      </c>
      <c r="R10" s="248">
        <v>2.6</v>
      </c>
      <c r="S10" s="2"/>
    </row>
    <row r="11" spans="1:19" x14ac:dyDescent="0.25">
      <c r="A11" s="61" t="s">
        <v>148</v>
      </c>
      <c r="B11" s="48" t="s">
        <v>147</v>
      </c>
      <c r="C11" s="249">
        <v>0</v>
      </c>
      <c r="D11" s="250">
        <v>28.5</v>
      </c>
      <c r="E11" s="250">
        <v>48.6</v>
      </c>
      <c r="F11" s="250">
        <v>57.5</v>
      </c>
      <c r="G11" s="250">
        <v>58.6</v>
      </c>
      <c r="H11" s="250">
        <v>93.9</v>
      </c>
      <c r="I11" s="250">
        <v>71.400000000000006</v>
      </c>
      <c r="J11" s="250">
        <v>92.2</v>
      </c>
      <c r="K11" s="250">
        <v>46</v>
      </c>
      <c r="L11" s="250">
        <v>66.3</v>
      </c>
      <c r="M11" s="250">
        <v>93.6</v>
      </c>
      <c r="N11" s="250">
        <v>53.9</v>
      </c>
      <c r="O11" s="249">
        <v>0</v>
      </c>
      <c r="P11" s="249">
        <v>0</v>
      </c>
      <c r="Q11" s="249">
        <v>0</v>
      </c>
      <c r="R11" s="251">
        <v>68.7</v>
      </c>
      <c r="S11" s="2"/>
    </row>
    <row r="12" spans="1:19" x14ac:dyDescent="0.25">
      <c r="A12" s="252" t="s">
        <v>149</v>
      </c>
      <c r="B12" s="253" t="s">
        <v>25</v>
      </c>
      <c r="C12" s="254">
        <v>1.95</v>
      </c>
      <c r="D12" s="254">
        <v>8.6300000000000008</v>
      </c>
      <c r="E12" s="254">
        <v>18.77</v>
      </c>
      <c r="F12" s="254">
        <v>45.92</v>
      </c>
      <c r="G12" s="254">
        <v>44.12</v>
      </c>
      <c r="H12" s="254">
        <v>49.96</v>
      </c>
      <c r="I12" s="254">
        <v>44.89</v>
      </c>
      <c r="J12" s="254">
        <v>43.5</v>
      </c>
      <c r="K12" s="254">
        <v>37.340000000000003</v>
      </c>
      <c r="L12" s="254">
        <v>22.12</v>
      </c>
      <c r="M12" s="254">
        <v>24.65</v>
      </c>
      <c r="N12" s="254">
        <v>15.9</v>
      </c>
      <c r="O12" s="255">
        <v>0</v>
      </c>
      <c r="P12" s="255">
        <v>0</v>
      </c>
      <c r="Q12" s="255">
        <v>0</v>
      </c>
      <c r="R12" s="254">
        <v>357.73</v>
      </c>
      <c r="S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56" t="s">
        <v>150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237"/>
    </row>
    <row r="15" spans="1:19" x14ac:dyDescent="0.25">
      <c r="A15" s="244" t="s">
        <v>151</v>
      </c>
      <c r="B15" s="106" t="s">
        <v>25</v>
      </c>
      <c r="C15" s="245">
        <v>0</v>
      </c>
      <c r="D15" s="245">
        <v>0</v>
      </c>
      <c r="E15" s="240">
        <v>0.68</v>
      </c>
      <c r="F15" s="240">
        <v>2.96</v>
      </c>
      <c r="G15" s="240">
        <v>3.01</v>
      </c>
      <c r="H15" s="240">
        <v>3</v>
      </c>
      <c r="I15" s="240">
        <v>3</v>
      </c>
      <c r="J15" s="240">
        <v>3</v>
      </c>
      <c r="K15" s="240">
        <v>3.51</v>
      </c>
      <c r="L15" s="240">
        <v>3.5</v>
      </c>
      <c r="M15" s="240">
        <v>3.5</v>
      </c>
      <c r="N15" s="240">
        <v>3.5</v>
      </c>
      <c r="O15" s="240">
        <v>3.51</v>
      </c>
      <c r="P15" s="240">
        <v>3.5</v>
      </c>
      <c r="Q15" s="240">
        <v>3.17</v>
      </c>
      <c r="R15" s="240">
        <v>39.840000000000003</v>
      </c>
      <c r="S15" s="2"/>
    </row>
    <row r="16" spans="1:19" x14ac:dyDescent="0.25">
      <c r="A16" s="61" t="s">
        <v>146</v>
      </c>
      <c r="B16" s="48" t="s">
        <v>147</v>
      </c>
      <c r="C16" s="249">
        <v>0</v>
      </c>
      <c r="D16" s="249">
        <v>0</v>
      </c>
      <c r="E16" s="250">
        <v>2</v>
      </c>
      <c r="F16" s="250">
        <v>5</v>
      </c>
      <c r="G16" s="250">
        <v>3.4</v>
      </c>
      <c r="H16" s="250">
        <v>3.9</v>
      </c>
      <c r="I16" s="250">
        <v>3.6</v>
      </c>
      <c r="J16" s="250">
        <v>3.9</v>
      </c>
      <c r="K16" s="250">
        <v>3.3</v>
      </c>
      <c r="L16" s="250">
        <v>1.9</v>
      </c>
      <c r="M16" s="250">
        <v>2.6</v>
      </c>
      <c r="N16" s="250">
        <v>1.7</v>
      </c>
      <c r="O16" s="250">
        <v>1.2</v>
      </c>
      <c r="P16" s="250">
        <v>0.8</v>
      </c>
      <c r="Q16" s="250">
        <v>0.8</v>
      </c>
      <c r="R16" s="251">
        <v>2.6</v>
      </c>
      <c r="S16" s="2"/>
    </row>
    <row r="17" spans="1:19" x14ac:dyDescent="0.25">
      <c r="A17" s="59" t="s">
        <v>148</v>
      </c>
      <c r="B17" s="106" t="s">
        <v>147</v>
      </c>
      <c r="C17" s="246">
        <v>0</v>
      </c>
      <c r="D17" s="246">
        <v>0</v>
      </c>
      <c r="E17" s="247">
        <v>53.4</v>
      </c>
      <c r="F17" s="247">
        <v>91.4</v>
      </c>
      <c r="G17" s="247">
        <v>86</v>
      </c>
      <c r="H17" s="247">
        <v>115.2</v>
      </c>
      <c r="I17" s="247">
        <v>101.3</v>
      </c>
      <c r="J17" s="247">
        <v>147.6</v>
      </c>
      <c r="K17" s="247">
        <v>63</v>
      </c>
      <c r="L17" s="247">
        <v>40.9</v>
      </c>
      <c r="M17" s="247">
        <v>95.6</v>
      </c>
      <c r="N17" s="247">
        <v>60.7</v>
      </c>
      <c r="O17" s="247">
        <v>23.6</v>
      </c>
      <c r="P17" s="247">
        <v>13.7</v>
      </c>
      <c r="Q17" s="247">
        <v>11.4</v>
      </c>
      <c r="R17" s="248">
        <v>68.7</v>
      </c>
      <c r="S17" s="2"/>
    </row>
    <row r="18" spans="1:1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56" t="s">
        <v>152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237"/>
    </row>
    <row r="20" spans="1:19" x14ac:dyDescent="0.25">
      <c r="A20" s="59" t="s">
        <v>153</v>
      </c>
      <c r="B20" s="106" t="s">
        <v>25</v>
      </c>
      <c r="C20" s="239">
        <v>0</v>
      </c>
      <c r="D20" s="238">
        <v>0.06</v>
      </c>
      <c r="E20" s="238">
        <v>1.25</v>
      </c>
      <c r="F20" s="238">
        <v>2.44</v>
      </c>
      <c r="G20" s="238">
        <v>1.34</v>
      </c>
      <c r="H20" s="238">
        <v>1.59</v>
      </c>
      <c r="I20" s="238">
        <v>1.62</v>
      </c>
      <c r="J20" s="238">
        <v>1.55</v>
      </c>
      <c r="K20" s="238">
        <v>0.81</v>
      </c>
      <c r="L20" s="238">
        <v>0.37</v>
      </c>
      <c r="M20" s="238">
        <v>0.35</v>
      </c>
      <c r="N20" s="238">
        <v>0.28000000000000003</v>
      </c>
      <c r="O20" s="239">
        <v>0</v>
      </c>
      <c r="P20" s="239">
        <v>0</v>
      </c>
      <c r="Q20" s="239">
        <v>0</v>
      </c>
      <c r="R20" s="2"/>
      <c r="S20" s="2"/>
    </row>
    <row r="21" spans="1:19" x14ac:dyDescent="0.25">
      <c r="A21" s="61" t="s">
        <v>154</v>
      </c>
      <c r="B21" s="48" t="s">
        <v>25</v>
      </c>
      <c r="C21" s="242">
        <v>0</v>
      </c>
      <c r="D21" s="242">
        <v>0</v>
      </c>
      <c r="E21" s="241">
        <v>0.25</v>
      </c>
      <c r="F21" s="241">
        <v>0.98</v>
      </c>
      <c r="G21" s="241">
        <v>0.84</v>
      </c>
      <c r="H21" s="241">
        <v>0.51</v>
      </c>
      <c r="I21" s="241">
        <v>0.52</v>
      </c>
      <c r="J21" s="241">
        <v>0.67</v>
      </c>
      <c r="K21" s="241">
        <v>0.86</v>
      </c>
      <c r="L21" s="241">
        <v>0.16</v>
      </c>
      <c r="M21" s="241">
        <v>0.6</v>
      </c>
      <c r="N21" s="241">
        <v>0.65</v>
      </c>
      <c r="O21" s="242">
        <v>0</v>
      </c>
      <c r="P21" s="242">
        <v>0</v>
      </c>
      <c r="Q21" s="242">
        <v>0</v>
      </c>
      <c r="R21" s="2"/>
      <c r="S21" s="2"/>
    </row>
    <row r="22" spans="1:19" x14ac:dyDescent="0.25">
      <c r="A22" s="244" t="s">
        <v>155</v>
      </c>
      <c r="B22" s="106" t="s">
        <v>25</v>
      </c>
      <c r="C22" s="245">
        <v>0</v>
      </c>
      <c r="D22" s="240">
        <v>0.06</v>
      </c>
      <c r="E22" s="240">
        <v>1.49</v>
      </c>
      <c r="F22" s="240">
        <v>3.41</v>
      </c>
      <c r="G22" s="240">
        <v>2.1800000000000002</v>
      </c>
      <c r="H22" s="240">
        <v>2.1</v>
      </c>
      <c r="I22" s="240">
        <v>2.14</v>
      </c>
      <c r="J22" s="240">
        <v>2.21</v>
      </c>
      <c r="K22" s="240">
        <v>1.67</v>
      </c>
      <c r="L22" s="240">
        <v>0.53</v>
      </c>
      <c r="M22" s="240">
        <v>0.96</v>
      </c>
      <c r="N22" s="240">
        <v>0.93</v>
      </c>
      <c r="O22" s="245">
        <v>0</v>
      </c>
      <c r="P22" s="245">
        <v>0</v>
      </c>
      <c r="Q22" s="245">
        <v>0</v>
      </c>
      <c r="R22" s="240">
        <v>17.68</v>
      </c>
      <c r="S22" s="2"/>
    </row>
    <row r="23" spans="1:19" x14ac:dyDescent="0.25">
      <c r="A23" s="61" t="s">
        <v>156</v>
      </c>
      <c r="B23" s="48" t="s">
        <v>25</v>
      </c>
      <c r="C23" s="242">
        <v>0</v>
      </c>
      <c r="D23" s="242">
        <v>0</v>
      </c>
      <c r="E23" s="241">
        <v>0.68</v>
      </c>
      <c r="F23" s="241">
        <v>0.69</v>
      </c>
      <c r="G23" s="241">
        <v>0.45</v>
      </c>
      <c r="H23" s="241">
        <v>1.17</v>
      </c>
      <c r="I23" s="241">
        <v>0.35</v>
      </c>
      <c r="J23" s="242">
        <v>0</v>
      </c>
      <c r="K23" s="241">
        <v>0.16</v>
      </c>
      <c r="L23" s="241">
        <v>2.64</v>
      </c>
      <c r="M23" s="241">
        <v>0.98</v>
      </c>
      <c r="N23" s="241">
        <v>0.37</v>
      </c>
      <c r="O23" s="241">
        <v>3.51</v>
      </c>
      <c r="P23" s="241">
        <v>3.5</v>
      </c>
      <c r="Q23" s="241">
        <v>3.17</v>
      </c>
      <c r="R23" s="243">
        <v>17.68</v>
      </c>
      <c r="S23" s="2"/>
    </row>
    <row r="24" spans="1:19" ht="15.75" thickBot="1" x14ac:dyDescent="0.3">
      <c r="A24" s="256" t="s">
        <v>157</v>
      </c>
      <c r="B24" s="257" t="s">
        <v>25</v>
      </c>
      <c r="C24" s="258">
        <v>1.95</v>
      </c>
      <c r="D24" s="258">
        <v>8.6300000000000008</v>
      </c>
      <c r="E24" s="258">
        <v>19.45</v>
      </c>
      <c r="F24" s="258">
        <v>46.61</v>
      </c>
      <c r="G24" s="258">
        <v>44.56</v>
      </c>
      <c r="H24" s="258">
        <v>51.13</v>
      </c>
      <c r="I24" s="258">
        <v>45.24</v>
      </c>
      <c r="J24" s="258">
        <v>43.5</v>
      </c>
      <c r="K24" s="258">
        <v>37.5</v>
      </c>
      <c r="L24" s="258">
        <v>24.77</v>
      </c>
      <c r="M24" s="258">
        <v>25.63</v>
      </c>
      <c r="N24" s="258">
        <v>16.28</v>
      </c>
      <c r="O24" s="258">
        <v>3.51</v>
      </c>
      <c r="P24" s="258">
        <v>3.5</v>
      </c>
      <c r="Q24" s="258">
        <v>3.17</v>
      </c>
      <c r="R24" s="258">
        <v>375.41</v>
      </c>
      <c r="S24" s="2"/>
    </row>
    <row r="25" spans="1:19" ht="15.75" thickTop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BF22-B11E-4DC7-BD1D-5D56FF11A34E}">
  <sheetPr>
    <tabColor rgb="FF0B1F3B"/>
  </sheetPr>
  <dimension ref="A1:G11"/>
  <sheetViews>
    <sheetView showGridLines="0" workbookViewId="0">
      <selection activeCell="G9" sqref="A4:G9"/>
    </sheetView>
  </sheetViews>
  <sheetFormatPr defaultRowHeight="15" x14ac:dyDescent="0.25"/>
  <cols>
    <col min="1" max="1" width="24.7109375" customWidth="1"/>
    <col min="2" max="7" width="18.140625" customWidth="1"/>
  </cols>
  <sheetData>
    <row r="1" spans="1:7" ht="15.75" x14ac:dyDescent="0.25">
      <c r="A1" s="67" t="s">
        <v>69</v>
      </c>
      <c r="B1" s="2"/>
      <c r="C1" s="2"/>
      <c r="D1" s="2"/>
      <c r="E1" s="2"/>
      <c r="F1" s="2"/>
      <c r="G1" s="2"/>
    </row>
    <row r="2" spans="1:7" x14ac:dyDescent="0.25">
      <c r="A2" s="7" t="s">
        <v>70</v>
      </c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11"/>
      <c r="B4" s="556" t="s">
        <v>93</v>
      </c>
      <c r="C4" s="556"/>
      <c r="D4" s="556" t="s">
        <v>94</v>
      </c>
      <c r="E4" s="556"/>
      <c r="F4" s="556" t="s">
        <v>95</v>
      </c>
      <c r="G4" s="556"/>
    </row>
    <row r="5" spans="1:7" ht="15.75" thickBot="1" x14ac:dyDescent="0.3">
      <c r="A5" s="259" t="s">
        <v>96</v>
      </c>
      <c r="B5" s="260" t="s">
        <v>97</v>
      </c>
      <c r="C5" s="260" t="s">
        <v>98</v>
      </c>
      <c r="D5" s="260" t="s">
        <v>99</v>
      </c>
      <c r="E5" s="260" t="s">
        <v>98</v>
      </c>
      <c r="F5" s="260" t="s">
        <v>97</v>
      </c>
      <c r="G5" s="260" t="s">
        <v>98</v>
      </c>
    </row>
    <row r="6" spans="1:7" x14ac:dyDescent="0.25">
      <c r="A6" s="122" t="s">
        <v>79</v>
      </c>
      <c r="B6" s="261">
        <v>710.5</v>
      </c>
      <c r="C6" s="262">
        <v>45.4</v>
      </c>
      <c r="D6" s="261">
        <v>347</v>
      </c>
      <c r="E6" s="262">
        <v>14.34</v>
      </c>
      <c r="F6" s="261">
        <v>1057.5</v>
      </c>
      <c r="G6" s="262">
        <v>26.54</v>
      </c>
    </row>
    <row r="7" spans="1:7" x14ac:dyDescent="0.25">
      <c r="A7" s="231" t="s">
        <v>100</v>
      </c>
      <c r="B7" s="263">
        <v>313.5</v>
      </c>
      <c r="C7" s="264">
        <v>20.03</v>
      </c>
      <c r="D7" s="263">
        <v>450</v>
      </c>
      <c r="E7" s="264">
        <v>18.600000000000001</v>
      </c>
      <c r="F7" s="263">
        <v>763.5</v>
      </c>
      <c r="G7" s="264">
        <v>19.16</v>
      </c>
    </row>
    <row r="8" spans="1:7" x14ac:dyDescent="0.25">
      <c r="A8" s="122" t="s">
        <v>101</v>
      </c>
      <c r="B8" s="261">
        <v>150.1</v>
      </c>
      <c r="C8" s="262">
        <v>9.59</v>
      </c>
      <c r="D8" s="261">
        <v>176.1</v>
      </c>
      <c r="E8" s="262">
        <v>7.28</v>
      </c>
      <c r="F8" s="261">
        <v>326.2</v>
      </c>
      <c r="G8" s="262">
        <v>8.19</v>
      </c>
    </row>
    <row r="9" spans="1:7" ht="15.75" thickBot="1" x14ac:dyDescent="0.3">
      <c r="A9" s="235" t="s">
        <v>91</v>
      </c>
      <c r="B9" s="265">
        <v>1174.2</v>
      </c>
      <c r="C9" s="266">
        <v>75.03</v>
      </c>
      <c r="D9" s="265">
        <v>973.1</v>
      </c>
      <c r="E9" s="266">
        <v>40.22</v>
      </c>
      <c r="F9" s="265">
        <v>2147.3000000000002</v>
      </c>
      <c r="G9" s="266">
        <v>53.89</v>
      </c>
    </row>
    <row r="10" spans="1:7" ht="15.75" thickTop="1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67" t="s">
        <v>102</v>
      </c>
      <c r="B11" s="2"/>
      <c r="C11" s="2"/>
      <c r="D11" s="2"/>
      <c r="E11" s="2"/>
      <c r="F11" s="2"/>
      <c r="G11" s="2"/>
    </row>
  </sheetData>
  <mergeCells count="3">
    <mergeCell ref="B4:C4"/>
    <mergeCell ref="D4:E4"/>
    <mergeCell ref="F4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2FD1-6E5C-47DE-9DFC-E254EC793407}">
  <sheetPr>
    <tabColor rgb="FF0B1F3B"/>
  </sheetPr>
  <dimension ref="A1:F12"/>
  <sheetViews>
    <sheetView showGridLines="0" workbookViewId="0">
      <selection activeCell="J24" sqref="J24"/>
    </sheetView>
  </sheetViews>
  <sheetFormatPr defaultRowHeight="15" x14ac:dyDescent="0.25"/>
  <cols>
    <col min="1" max="1" width="27.5703125" customWidth="1"/>
    <col min="2" max="2" width="13.28515625" customWidth="1"/>
    <col min="3" max="3" width="11.42578125" customWidth="1"/>
    <col min="4" max="6" width="22.85546875" customWidth="1"/>
  </cols>
  <sheetData>
    <row r="1" spans="1:6" ht="15.75" x14ac:dyDescent="0.25">
      <c r="A1" s="303" t="s">
        <v>424</v>
      </c>
    </row>
    <row r="2" spans="1:6" x14ac:dyDescent="0.25">
      <c r="A2" s="304" t="s">
        <v>425</v>
      </c>
    </row>
    <row r="3" spans="1:6" ht="8.1" customHeight="1" x14ac:dyDescent="0.25">
      <c r="A3" s="305"/>
      <c r="B3" s="305"/>
      <c r="C3" s="305"/>
      <c r="D3" s="305"/>
      <c r="E3" s="305"/>
      <c r="F3" s="305"/>
    </row>
    <row r="4" spans="1:6" ht="15.75" thickBot="1" x14ac:dyDescent="0.3">
      <c r="A4" s="310" t="s">
        <v>426</v>
      </c>
      <c r="B4" s="310" t="s">
        <v>427</v>
      </c>
      <c r="C4" s="310" t="s">
        <v>428</v>
      </c>
      <c r="D4" s="310" t="s">
        <v>429</v>
      </c>
      <c r="E4" s="310" t="s">
        <v>430</v>
      </c>
      <c r="F4" s="310" t="s">
        <v>431</v>
      </c>
    </row>
    <row r="5" spans="1:6" x14ac:dyDescent="0.25">
      <c r="A5" s="557" t="s">
        <v>432</v>
      </c>
      <c r="B5" s="311" t="s">
        <v>433</v>
      </c>
      <c r="C5" s="312" t="s">
        <v>147</v>
      </c>
      <c r="D5" s="313">
        <v>17</v>
      </c>
      <c r="E5" s="313">
        <v>94</v>
      </c>
      <c r="F5" s="313">
        <v>55</v>
      </c>
    </row>
    <row r="6" spans="1:6" x14ac:dyDescent="0.25">
      <c r="A6" s="558"/>
      <c r="B6" s="308" t="s">
        <v>434</v>
      </c>
      <c r="C6" s="309" t="s">
        <v>147</v>
      </c>
      <c r="D6" s="315">
        <v>283</v>
      </c>
      <c r="E6" s="315">
        <v>2943</v>
      </c>
      <c r="F6" s="315">
        <v>1588</v>
      </c>
    </row>
    <row r="7" spans="1:6" x14ac:dyDescent="0.25">
      <c r="A7" s="559"/>
      <c r="B7" s="306" t="s">
        <v>435</v>
      </c>
      <c r="C7" s="307" t="s">
        <v>29</v>
      </c>
      <c r="D7" s="314">
        <v>2.19</v>
      </c>
      <c r="E7" s="314">
        <v>13.93</v>
      </c>
      <c r="F7" s="314">
        <v>8.06</v>
      </c>
    </row>
    <row r="8" spans="1:6" x14ac:dyDescent="0.25">
      <c r="A8" s="558"/>
      <c r="B8" s="308" t="s">
        <v>436</v>
      </c>
      <c r="C8" s="309" t="s">
        <v>29</v>
      </c>
      <c r="D8" s="315">
        <v>4.0199999999999996</v>
      </c>
      <c r="E8" s="315">
        <v>21.03</v>
      </c>
      <c r="F8" s="315">
        <v>12.79</v>
      </c>
    </row>
    <row r="9" spans="1:6" x14ac:dyDescent="0.25">
      <c r="A9" s="559"/>
      <c r="B9" s="306" t="s">
        <v>437</v>
      </c>
      <c r="C9" s="307" t="s">
        <v>29</v>
      </c>
      <c r="D9" s="314">
        <v>0.48</v>
      </c>
      <c r="E9" s="314">
        <v>2.0499999999999998</v>
      </c>
      <c r="F9" s="314">
        <v>1.1399999999999999</v>
      </c>
    </row>
    <row r="10" spans="1:6" x14ac:dyDescent="0.25">
      <c r="A10" s="560" t="s">
        <v>438</v>
      </c>
      <c r="B10" s="316" t="s">
        <v>439</v>
      </c>
      <c r="C10" s="317" t="s">
        <v>29</v>
      </c>
      <c r="D10" s="318">
        <v>0.69</v>
      </c>
      <c r="E10" s="318">
        <v>5.96</v>
      </c>
      <c r="F10" s="318">
        <v>1.5</v>
      </c>
    </row>
    <row r="11" spans="1:6" x14ac:dyDescent="0.25">
      <c r="A11" s="559"/>
      <c r="B11" s="306" t="s">
        <v>440</v>
      </c>
      <c r="C11" s="307" t="s">
        <v>29</v>
      </c>
      <c r="D11" s="314">
        <v>0.03</v>
      </c>
      <c r="E11" s="314">
        <v>0.32</v>
      </c>
      <c r="F11" s="314">
        <v>0.08</v>
      </c>
    </row>
    <row r="12" spans="1:6" ht="15.75" thickBot="1" x14ac:dyDescent="0.3">
      <c r="A12" s="319" t="s">
        <v>441</v>
      </c>
      <c r="B12" s="320" t="s">
        <v>442</v>
      </c>
      <c r="C12" s="321" t="s">
        <v>29</v>
      </c>
      <c r="D12" s="322">
        <v>0.74</v>
      </c>
      <c r="E12" s="322">
        <v>5.72</v>
      </c>
      <c r="F12" s="322">
        <v>1.78</v>
      </c>
    </row>
  </sheetData>
  <mergeCells count="2">
    <mergeCell ref="A5:A9"/>
    <mergeCell ref="A10:A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93FA-86DA-4B4F-9DE0-26F0F01C2716}">
  <sheetPr>
    <tabColor rgb="FF0B1F3B"/>
  </sheetPr>
  <dimension ref="A1:E17"/>
  <sheetViews>
    <sheetView showGridLines="0" workbookViewId="0">
      <selection activeCell="J24" sqref="J24"/>
    </sheetView>
  </sheetViews>
  <sheetFormatPr defaultRowHeight="15" x14ac:dyDescent="0.25"/>
  <cols>
    <col min="1" max="1" width="45.7109375" customWidth="1"/>
    <col min="2" max="5" width="21" customWidth="1"/>
  </cols>
  <sheetData>
    <row r="1" spans="1:5" ht="15.75" x14ac:dyDescent="0.25">
      <c r="A1" s="67" t="s">
        <v>71</v>
      </c>
      <c r="B1" s="2"/>
      <c r="C1" s="2"/>
      <c r="D1" s="2"/>
      <c r="E1" s="2"/>
    </row>
    <row r="2" spans="1:5" x14ac:dyDescent="0.25">
      <c r="A2" s="7" t="s">
        <v>72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ht="15.75" thickBot="1" x14ac:dyDescent="0.3">
      <c r="A4" s="268" t="s">
        <v>74</v>
      </c>
      <c r="B4" s="228" t="s">
        <v>75</v>
      </c>
      <c r="C4" s="228" t="s">
        <v>76</v>
      </c>
      <c r="D4" s="228" t="s">
        <v>77</v>
      </c>
      <c r="E4" s="228" t="s">
        <v>78</v>
      </c>
    </row>
    <row r="5" spans="1:5" x14ac:dyDescent="0.25">
      <c r="A5" s="231" t="s">
        <v>79</v>
      </c>
      <c r="B5" s="263">
        <v>113.7</v>
      </c>
      <c r="C5" s="263">
        <v>426</v>
      </c>
      <c r="D5" s="269" t="s">
        <v>80</v>
      </c>
      <c r="E5" s="269" t="s">
        <v>80</v>
      </c>
    </row>
    <row r="6" spans="1:5" x14ac:dyDescent="0.25">
      <c r="A6" s="122" t="s">
        <v>81</v>
      </c>
      <c r="B6" s="261">
        <v>38</v>
      </c>
      <c r="C6" s="261">
        <v>3</v>
      </c>
      <c r="D6" s="270" t="s">
        <v>80</v>
      </c>
      <c r="E6" s="270" t="s">
        <v>80</v>
      </c>
    </row>
    <row r="7" spans="1:5" x14ac:dyDescent="0.25">
      <c r="A7" s="231" t="s">
        <v>82</v>
      </c>
      <c r="B7" s="263">
        <v>171.8</v>
      </c>
      <c r="C7" s="263">
        <v>2</v>
      </c>
      <c r="D7" s="263">
        <v>8</v>
      </c>
      <c r="E7" s="269" t="s">
        <v>80</v>
      </c>
    </row>
    <row r="8" spans="1:5" x14ac:dyDescent="0.25">
      <c r="A8" s="122" t="s">
        <v>83</v>
      </c>
      <c r="B8" s="261">
        <v>21.7</v>
      </c>
      <c r="C8" s="261">
        <v>65.3</v>
      </c>
      <c r="D8" s="270" t="s">
        <v>80</v>
      </c>
      <c r="E8" s="270" t="s">
        <v>80</v>
      </c>
    </row>
    <row r="9" spans="1:5" x14ac:dyDescent="0.25">
      <c r="A9" s="231" t="s">
        <v>84</v>
      </c>
      <c r="B9" s="263">
        <v>98.6</v>
      </c>
      <c r="C9" s="263">
        <v>52</v>
      </c>
      <c r="D9" s="269" t="s">
        <v>80</v>
      </c>
      <c r="E9" s="269" t="s">
        <v>80</v>
      </c>
    </row>
    <row r="10" spans="1:5" x14ac:dyDescent="0.25">
      <c r="A10" s="122" t="s">
        <v>85</v>
      </c>
      <c r="B10" s="261">
        <v>30.3</v>
      </c>
      <c r="C10" s="270" t="s">
        <v>80</v>
      </c>
      <c r="D10" s="270" t="s">
        <v>80</v>
      </c>
      <c r="E10" s="270" t="s">
        <v>80</v>
      </c>
    </row>
    <row r="11" spans="1:5" x14ac:dyDescent="0.25">
      <c r="A11" s="231" t="s">
        <v>86</v>
      </c>
      <c r="B11" s="263">
        <v>92.6</v>
      </c>
      <c r="C11" s="269" t="s">
        <v>80</v>
      </c>
      <c r="D11" s="269" t="s">
        <v>80</v>
      </c>
      <c r="E11" s="269" t="s">
        <v>80</v>
      </c>
    </row>
    <row r="12" spans="1:5" x14ac:dyDescent="0.25">
      <c r="A12" s="122" t="s">
        <v>87</v>
      </c>
      <c r="B12" s="261">
        <v>97.5</v>
      </c>
      <c r="C12" s="261">
        <v>13</v>
      </c>
      <c r="D12" s="261">
        <v>0.7</v>
      </c>
      <c r="E12" s="270" t="s">
        <v>80</v>
      </c>
    </row>
    <row r="13" spans="1:5" x14ac:dyDescent="0.25">
      <c r="A13" s="271" t="s">
        <v>88</v>
      </c>
      <c r="B13" s="272">
        <v>664.2</v>
      </c>
      <c r="C13" s="272">
        <v>561.29999999999995</v>
      </c>
      <c r="D13" s="272">
        <v>8.6999999999999993</v>
      </c>
      <c r="E13" s="273" t="s">
        <v>80</v>
      </c>
    </row>
    <row r="14" spans="1:5" x14ac:dyDescent="0.25">
      <c r="A14" s="122" t="s">
        <v>89</v>
      </c>
      <c r="B14" s="261">
        <v>48.7</v>
      </c>
      <c r="C14" s="270" t="s">
        <v>80</v>
      </c>
      <c r="D14" s="270" t="s">
        <v>80</v>
      </c>
      <c r="E14" s="270" t="s">
        <v>80</v>
      </c>
    </row>
    <row r="15" spans="1:5" x14ac:dyDescent="0.25">
      <c r="A15" s="122" t="s">
        <v>90</v>
      </c>
      <c r="B15" s="270" t="s">
        <v>80</v>
      </c>
      <c r="C15" s="270" t="s">
        <v>80</v>
      </c>
      <c r="D15" s="270" t="s">
        <v>80</v>
      </c>
      <c r="E15" s="261">
        <v>174.8</v>
      </c>
    </row>
    <row r="16" spans="1:5" ht="15.75" thickBot="1" x14ac:dyDescent="0.3">
      <c r="A16" s="235" t="s">
        <v>91</v>
      </c>
      <c r="B16" s="265">
        <v>712.9</v>
      </c>
      <c r="C16" s="265">
        <v>561.29999999999995</v>
      </c>
      <c r="D16" s="265">
        <v>8.6999999999999993</v>
      </c>
      <c r="E16" s="265">
        <v>174.8</v>
      </c>
    </row>
    <row r="17" ht="15.75" thickTop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52C4-B4CF-42A7-92F7-90FAB84E2A7C}">
  <sheetPr>
    <tabColor rgb="FF5A6772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27D8-41C1-4F26-8BAB-66505862B74A}">
  <sheetPr>
    <tabColor rgb="FF0B1F3B"/>
  </sheetPr>
  <dimension ref="A1:C23"/>
  <sheetViews>
    <sheetView showGridLines="0" workbookViewId="0">
      <selection activeCell="C12" sqref="C12"/>
    </sheetView>
  </sheetViews>
  <sheetFormatPr defaultRowHeight="15" x14ac:dyDescent="0.25"/>
  <cols>
    <col min="1" max="1" width="47.5703125" customWidth="1"/>
    <col min="2" max="3" width="21" customWidth="1"/>
  </cols>
  <sheetData>
    <row r="1" spans="1:3" ht="15.75" x14ac:dyDescent="0.25">
      <c r="A1" s="67" t="s">
        <v>224</v>
      </c>
      <c r="B1" s="2"/>
      <c r="C1" s="2"/>
    </row>
    <row r="2" spans="1:3" x14ac:dyDescent="0.25">
      <c r="A2" s="7" t="s">
        <v>401</v>
      </c>
      <c r="B2" s="2"/>
      <c r="C2" s="2"/>
    </row>
    <row r="3" spans="1:3" x14ac:dyDescent="0.25">
      <c r="A3" s="7" t="s">
        <v>225</v>
      </c>
      <c r="B3" s="2"/>
      <c r="C3" s="2"/>
    </row>
    <row r="4" spans="1:3" x14ac:dyDescent="0.25">
      <c r="A4" s="2"/>
      <c r="B4" s="2"/>
      <c r="C4" s="2"/>
    </row>
    <row r="5" spans="1:3" ht="15.75" thickBot="1" x14ac:dyDescent="0.3">
      <c r="A5" s="72"/>
      <c r="B5" s="73">
        <v>2024</v>
      </c>
      <c r="C5" s="73">
        <v>2023</v>
      </c>
    </row>
    <row r="6" spans="1:3" x14ac:dyDescent="0.25">
      <c r="A6" s="59" t="s">
        <v>226</v>
      </c>
      <c r="B6" s="274">
        <v>1013</v>
      </c>
      <c r="C6" s="274">
        <v>339</v>
      </c>
    </row>
    <row r="7" spans="1:3" x14ac:dyDescent="0.25">
      <c r="A7" s="61" t="s">
        <v>227</v>
      </c>
      <c r="B7" s="275">
        <v>5892</v>
      </c>
      <c r="C7" s="275">
        <v>6378</v>
      </c>
    </row>
    <row r="8" spans="1:3" x14ac:dyDescent="0.25">
      <c r="A8" s="59" t="s">
        <v>228</v>
      </c>
      <c r="B8" s="274">
        <v>3153</v>
      </c>
      <c r="C8" s="274">
        <v>164</v>
      </c>
    </row>
    <row r="9" spans="1:3" x14ac:dyDescent="0.25">
      <c r="A9" s="61" t="s">
        <v>229</v>
      </c>
      <c r="B9" s="275">
        <v>-7737</v>
      </c>
      <c r="C9" s="275">
        <v>0</v>
      </c>
    </row>
    <row r="10" spans="1:3" x14ac:dyDescent="0.25">
      <c r="A10" s="59" t="s">
        <v>230</v>
      </c>
      <c r="B10" s="274">
        <v>1579</v>
      </c>
      <c r="C10" s="274">
        <v>1316</v>
      </c>
    </row>
    <row r="11" spans="1:3" x14ac:dyDescent="0.25">
      <c r="A11" s="61" t="s">
        <v>231</v>
      </c>
      <c r="B11" s="275">
        <v>4231</v>
      </c>
      <c r="C11" s="275">
        <v>1140</v>
      </c>
    </row>
    <row r="12" spans="1:3" x14ac:dyDescent="0.25">
      <c r="A12" s="59" t="s">
        <v>232</v>
      </c>
      <c r="B12" s="274">
        <v>859</v>
      </c>
      <c r="C12" s="274">
        <v>392</v>
      </c>
    </row>
    <row r="13" spans="1:3" x14ac:dyDescent="0.25">
      <c r="A13" s="61" t="s">
        <v>233</v>
      </c>
      <c r="B13" s="275">
        <v>146922</v>
      </c>
      <c r="C13" s="275">
        <v>91855</v>
      </c>
    </row>
    <row r="14" spans="1:3" x14ac:dyDescent="0.25">
      <c r="A14" s="59" t="s">
        <v>234</v>
      </c>
      <c r="B14" s="274">
        <v>-17429</v>
      </c>
      <c r="C14" s="274">
        <v>-5078</v>
      </c>
    </row>
    <row r="15" spans="1:3" x14ac:dyDescent="0.25">
      <c r="A15" s="61" t="s">
        <v>235</v>
      </c>
      <c r="B15" s="275">
        <v>-3694</v>
      </c>
      <c r="C15" s="275">
        <v>-2040</v>
      </c>
    </row>
    <row r="16" spans="1:3" x14ac:dyDescent="0.25">
      <c r="A16" s="59" t="s">
        <v>236</v>
      </c>
      <c r="B16" s="274">
        <v>8799</v>
      </c>
      <c r="C16" s="274">
        <v>8856</v>
      </c>
    </row>
    <row r="17" spans="1:3" x14ac:dyDescent="0.25">
      <c r="A17" s="61" t="s">
        <v>237</v>
      </c>
      <c r="B17" s="275">
        <v>8351</v>
      </c>
      <c r="C17" s="275">
        <v>5302</v>
      </c>
    </row>
    <row r="18" spans="1:3" x14ac:dyDescent="0.25">
      <c r="A18" s="276" t="s">
        <v>238</v>
      </c>
      <c r="B18" s="277">
        <v>-151939</v>
      </c>
      <c r="C18" s="277">
        <v>-109624</v>
      </c>
    </row>
    <row r="19" spans="1:3" x14ac:dyDescent="0.25">
      <c r="A19" s="59" t="s">
        <v>239</v>
      </c>
      <c r="B19" s="274">
        <v>0</v>
      </c>
      <c r="C19" s="274">
        <v>644</v>
      </c>
    </row>
    <row r="20" spans="1:3" ht="15.75" thickBot="1" x14ac:dyDescent="0.3">
      <c r="A20" s="256" t="s">
        <v>194</v>
      </c>
      <c r="B20" s="278">
        <v>-151939</v>
      </c>
      <c r="C20" s="278">
        <v>-108980</v>
      </c>
    </row>
    <row r="21" spans="1:3" ht="15.75" thickTop="1" x14ac:dyDescent="0.25">
      <c r="A21" s="2"/>
      <c r="B21" s="2"/>
      <c r="C21" s="2"/>
    </row>
    <row r="22" spans="1:3" x14ac:dyDescent="0.25">
      <c r="A22" s="59" t="s">
        <v>240</v>
      </c>
      <c r="B22" s="279">
        <v>-1.53</v>
      </c>
      <c r="C22" s="279">
        <v>-1.29</v>
      </c>
    </row>
    <row r="23" spans="1:3" x14ac:dyDescent="0.25">
      <c r="A23" s="280" t="s">
        <v>241</v>
      </c>
      <c r="B23" s="281">
        <v>99128496</v>
      </c>
      <c r="C23" s="281">
        <v>84353282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0E40-1953-45CB-A435-F424E49D508F}">
  <sheetPr>
    <tabColor rgb="FF0B1F3B"/>
  </sheetPr>
  <dimension ref="A1:C37"/>
  <sheetViews>
    <sheetView showGridLines="0" topLeftCell="A3" workbookViewId="0">
      <selection activeCell="A25" sqref="A25"/>
    </sheetView>
  </sheetViews>
  <sheetFormatPr defaultRowHeight="15" x14ac:dyDescent="0.25"/>
  <cols>
    <col min="1" max="1" width="47.5703125" customWidth="1"/>
    <col min="2" max="3" width="21" customWidth="1"/>
  </cols>
  <sheetData>
    <row r="1" spans="1:3" ht="15.75" x14ac:dyDescent="0.25">
      <c r="A1" s="67" t="s">
        <v>242</v>
      </c>
      <c r="B1" s="2"/>
      <c r="C1" s="2"/>
    </row>
    <row r="2" spans="1:3" x14ac:dyDescent="0.25">
      <c r="A2" s="7" t="s">
        <v>402</v>
      </c>
      <c r="B2" s="2"/>
      <c r="C2" s="2"/>
    </row>
    <row r="3" spans="1:3" x14ac:dyDescent="0.25">
      <c r="A3" s="7" t="s">
        <v>192</v>
      </c>
      <c r="B3" s="2"/>
      <c r="C3" s="2"/>
    </row>
    <row r="4" spans="1:3" x14ac:dyDescent="0.25">
      <c r="A4" s="2"/>
      <c r="B4" s="2"/>
      <c r="C4" s="2"/>
    </row>
    <row r="5" spans="1:3" ht="15.75" thickBot="1" x14ac:dyDescent="0.3">
      <c r="A5" s="72"/>
      <c r="B5" s="282">
        <v>45657</v>
      </c>
      <c r="C5" s="282">
        <v>45291</v>
      </c>
    </row>
    <row r="6" spans="1:3" x14ac:dyDescent="0.25">
      <c r="A6" s="236" t="s">
        <v>243</v>
      </c>
      <c r="B6" s="11"/>
      <c r="C6" s="11"/>
    </row>
    <row r="7" spans="1:3" x14ac:dyDescent="0.25">
      <c r="A7" s="280" t="s">
        <v>244</v>
      </c>
      <c r="B7" s="283">
        <v>96941</v>
      </c>
      <c r="C7" s="283">
        <v>91135</v>
      </c>
    </row>
    <row r="8" spans="1:3" x14ac:dyDescent="0.25">
      <c r="A8" s="61" t="s">
        <v>245</v>
      </c>
      <c r="B8" s="275">
        <v>949</v>
      </c>
      <c r="C8" s="275">
        <v>1554</v>
      </c>
    </row>
    <row r="9" spans="1:3" x14ac:dyDescent="0.25">
      <c r="A9" s="59" t="s">
        <v>246</v>
      </c>
      <c r="B9" s="274">
        <v>2351</v>
      </c>
      <c r="C9" s="274">
        <v>3225</v>
      </c>
    </row>
    <row r="10" spans="1:3" x14ac:dyDescent="0.25">
      <c r="A10" s="61" t="s">
        <v>247</v>
      </c>
      <c r="B10" s="275">
        <v>698</v>
      </c>
      <c r="C10" s="275">
        <v>1588</v>
      </c>
    </row>
    <row r="11" spans="1:3" x14ac:dyDescent="0.25">
      <c r="A11" s="276" t="s">
        <v>248</v>
      </c>
      <c r="B11" s="277">
        <v>100939</v>
      </c>
      <c r="C11" s="277">
        <v>97502</v>
      </c>
    </row>
    <row r="12" spans="1:3" x14ac:dyDescent="0.25">
      <c r="A12" s="59" t="s">
        <v>249</v>
      </c>
      <c r="B12" s="274">
        <v>5083</v>
      </c>
      <c r="C12" s="274">
        <v>2102</v>
      </c>
    </row>
    <row r="13" spans="1:3" x14ac:dyDescent="0.25">
      <c r="A13" s="61" t="s">
        <v>250</v>
      </c>
      <c r="B13" s="275">
        <v>18662</v>
      </c>
      <c r="C13" s="275">
        <v>62414</v>
      </c>
    </row>
    <row r="14" spans="1:3" x14ac:dyDescent="0.25">
      <c r="A14" s="59" t="s">
        <v>251</v>
      </c>
      <c r="B14" s="274">
        <v>144220</v>
      </c>
      <c r="C14" s="274">
        <v>32969</v>
      </c>
    </row>
    <row r="15" spans="1:3" x14ac:dyDescent="0.25">
      <c r="A15" s="61" t="s">
        <v>252</v>
      </c>
      <c r="B15" s="275">
        <v>5487</v>
      </c>
      <c r="C15" s="275">
        <v>0</v>
      </c>
    </row>
    <row r="16" spans="1:3" ht="15.75" thickBot="1" x14ac:dyDescent="0.3">
      <c r="A16" s="256" t="s">
        <v>253</v>
      </c>
      <c r="B16" s="278">
        <v>274391</v>
      </c>
      <c r="C16" s="278">
        <v>194987</v>
      </c>
    </row>
    <row r="17" spans="1:3" ht="15.75" thickTop="1" x14ac:dyDescent="0.25">
      <c r="A17" s="2"/>
      <c r="B17" s="2"/>
      <c r="C17" s="2"/>
    </row>
    <row r="18" spans="1:3" x14ac:dyDescent="0.25">
      <c r="A18" s="236" t="s">
        <v>254</v>
      </c>
      <c r="B18" s="11"/>
      <c r="C18" s="11"/>
    </row>
    <row r="19" spans="1:3" x14ac:dyDescent="0.25">
      <c r="A19" s="59" t="s">
        <v>255</v>
      </c>
      <c r="B19" s="274">
        <v>57285</v>
      </c>
      <c r="C19" s="274">
        <v>20588</v>
      </c>
    </row>
    <row r="20" spans="1:3" x14ac:dyDescent="0.25">
      <c r="A20" s="61" t="s">
        <v>256</v>
      </c>
      <c r="B20" s="275">
        <v>6303</v>
      </c>
      <c r="C20" s="275">
        <v>1061</v>
      </c>
    </row>
    <row r="21" spans="1:3" x14ac:dyDescent="0.25">
      <c r="A21" s="59" t="s">
        <v>257</v>
      </c>
      <c r="B21" s="274">
        <v>5708</v>
      </c>
      <c r="C21" s="274">
        <v>3137</v>
      </c>
    </row>
    <row r="22" spans="1:3" x14ac:dyDescent="0.25">
      <c r="A22" s="61" t="s">
        <v>258</v>
      </c>
      <c r="B22" s="275">
        <v>721</v>
      </c>
      <c r="C22" s="275">
        <v>449</v>
      </c>
    </row>
    <row r="23" spans="1:3" x14ac:dyDescent="0.25">
      <c r="A23" s="276" t="s">
        <v>259</v>
      </c>
      <c r="B23" s="277">
        <v>70017</v>
      </c>
      <c r="C23" s="277">
        <v>25235</v>
      </c>
    </row>
    <row r="24" spans="1:3" x14ac:dyDescent="0.25">
      <c r="A24" s="59" t="s">
        <v>260</v>
      </c>
      <c r="B24" s="274">
        <v>7230</v>
      </c>
      <c r="C24" s="274">
        <v>8546</v>
      </c>
    </row>
    <row r="25" spans="1:3" x14ac:dyDescent="0.25">
      <c r="A25" s="61" t="s">
        <v>261</v>
      </c>
      <c r="B25" s="275">
        <v>63886</v>
      </c>
      <c r="C25" s="275">
        <v>0</v>
      </c>
    </row>
    <row r="26" spans="1:3" x14ac:dyDescent="0.25">
      <c r="A26" s="59" t="s">
        <v>262</v>
      </c>
      <c r="B26" s="274">
        <v>38499</v>
      </c>
      <c r="C26" s="274">
        <v>13654</v>
      </c>
    </row>
    <row r="27" spans="1:3" x14ac:dyDescent="0.25">
      <c r="A27" s="61" t="s">
        <v>263</v>
      </c>
      <c r="B27" s="275">
        <v>4146</v>
      </c>
      <c r="C27" s="275">
        <v>242</v>
      </c>
    </row>
    <row r="28" spans="1:3" x14ac:dyDescent="0.25">
      <c r="A28" s="252" t="s">
        <v>264</v>
      </c>
      <c r="B28" s="284">
        <v>183778</v>
      </c>
      <c r="C28" s="284">
        <v>70452</v>
      </c>
    </row>
    <row r="29" spans="1:3" x14ac:dyDescent="0.25">
      <c r="A29" s="2"/>
      <c r="B29" s="2"/>
      <c r="C29" s="2"/>
    </row>
    <row r="30" spans="1:3" x14ac:dyDescent="0.25">
      <c r="A30" s="236" t="s">
        <v>265</v>
      </c>
      <c r="B30" s="11"/>
      <c r="C30" s="11"/>
    </row>
    <row r="31" spans="1:3" x14ac:dyDescent="0.25">
      <c r="A31" s="59" t="s">
        <v>266</v>
      </c>
      <c r="B31" s="274">
        <v>670126</v>
      </c>
      <c r="C31" s="274">
        <v>552397</v>
      </c>
    </row>
    <row r="32" spans="1:3" x14ac:dyDescent="0.25">
      <c r="A32" s="61" t="s">
        <v>267</v>
      </c>
      <c r="B32" s="275">
        <v>250</v>
      </c>
      <c r="C32" s="275">
        <v>750</v>
      </c>
    </row>
    <row r="33" spans="1:3" x14ac:dyDescent="0.25">
      <c r="A33" s="59" t="s">
        <v>268</v>
      </c>
      <c r="B33" s="274">
        <v>47346</v>
      </c>
      <c r="C33" s="274">
        <v>48299</v>
      </c>
    </row>
    <row r="34" spans="1:3" x14ac:dyDescent="0.25">
      <c r="A34" s="61" t="s">
        <v>269</v>
      </c>
      <c r="B34" s="275">
        <v>-627109</v>
      </c>
      <c r="C34" s="275">
        <v>-476911</v>
      </c>
    </row>
    <row r="35" spans="1:3" x14ac:dyDescent="0.25">
      <c r="A35" s="276" t="s">
        <v>270</v>
      </c>
      <c r="B35" s="277">
        <v>90613</v>
      </c>
      <c r="C35" s="277">
        <v>124535</v>
      </c>
    </row>
    <row r="36" spans="1:3" ht="15.75" thickBot="1" x14ac:dyDescent="0.3">
      <c r="A36" s="256" t="s">
        <v>271</v>
      </c>
      <c r="B36" s="278">
        <v>274391</v>
      </c>
      <c r="C36" s="278">
        <v>194987</v>
      </c>
    </row>
    <row r="37" spans="1:3" ht="15.75" thickTop="1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0CF1-2B70-488C-A0E3-FD0F158BB691}">
  <sheetPr>
    <tabColor rgb="FF0B1F3B"/>
  </sheetPr>
  <dimension ref="A1:C41"/>
  <sheetViews>
    <sheetView showGridLines="0" workbookViewId="0">
      <selection activeCell="G11" sqref="G11"/>
    </sheetView>
  </sheetViews>
  <sheetFormatPr defaultRowHeight="15" x14ac:dyDescent="0.25"/>
  <cols>
    <col min="1" max="1" width="49.5703125" customWidth="1"/>
    <col min="2" max="3" width="19" customWidth="1"/>
  </cols>
  <sheetData>
    <row r="1" spans="1:3" ht="15.75" x14ac:dyDescent="0.25">
      <c r="A1" s="67" t="s">
        <v>191</v>
      </c>
      <c r="B1" s="2"/>
      <c r="C1" s="2"/>
    </row>
    <row r="2" spans="1:3" x14ac:dyDescent="0.25">
      <c r="A2" s="7" t="s">
        <v>403</v>
      </c>
      <c r="B2" s="2"/>
      <c r="C2" s="2"/>
    </row>
    <row r="3" spans="1:3" x14ac:dyDescent="0.25">
      <c r="A3" s="7" t="s">
        <v>192</v>
      </c>
      <c r="B3" s="2"/>
      <c r="C3" s="2"/>
    </row>
    <row r="4" spans="1:3" x14ac:dyDescent="0.25">
      <c r="A4" s="2"/>
      <c r="B4" s="2"/>
      <c r="C4" s="2"/>
    </row>
    <row r="5" spans="1:3" ht="15.75" thickBot="1" x14ac:dyDescent="0.3">
      <c r="A5" s="72"/>
      <c r="B5" s="73">
        <v>2024</v>
      </c>
      <c r="C5" s="73">
        <v>2023</v>
      </c>
    </row>
    <row r="6" spans="1:3" x14ac:dyDescent="0.25">
      <c r="A6" s="236" t="s">
        <v>193</v>
      </c>
      <c r="B6" s="11"/>
      <c r="C6" s="11"/>
    </row>
    <row r="7" spans="1:3" x14ac:dyDescent="0.25">
      <c r="A7" s="59" t="s">
        <v>194</v>
      </c>
      <c r="B7" s="274">
        <v>-151939</v>
      </c>
      <c r="C7" s="274">
        <v>-108980</v>
      </c>
    </row>
    <row r="8" spans="1:3" x14ac:dyDescent="0.25">
      <c r="A8" s="61" t="s">
        <v>195</v>
      </c>
      <c r="B8" s="275">
        <v>1608</v>
      </c>
      <c r="C8" s="275">
        <v>546</v>
      </c>
    </row>
    <row r="9" spans="1:3" x14ac:dyDescent="0.25">
      <c r="A9" s="59" t="s">
        <v>196</v>
      </c>
      <c r="B9" s="274">
        <v>3153</v>
      </c>
      <c r="C9" s="274">
        <v>164</v>
      </c>
    </row>
    <row r="10" spans="1:3" x14ac:dyDescent="0.25">
      <c r="A10" s="61" t="s">
        <v>197</v>
      </c>
      <c r="B10" s="275">
        <v>-7737</v>
      </c>
      <c r="C10" s="275">
        <v>0</v>
      </c>
    </row>
    <row r="11" spans="1:3" x14ac:dyDescent="0.25">
      <c r="A11" s="59" t="s">
        <v>198</v>
      </c>
      <c r="B11" s="274">
        <v>8223</v>
      </c>
      <c r="C11" s="274">
        <v>2400</v>
      </c>
    </row>
    <row r="12" spans="1:3" x14ac:dyDescent="0.25">
      <c r="A12" s="61" t="s">
        <v>199</v>
      </c>
      <c r="B12" s="275">
        <v>-857</v>
      </c>
      <c r="C12" s="275">
        <v>0</v>
      </c>
    </row>
    <row r="13" spans="1:3" x14ac:dyDescent="0.25">
      <c r="A13" s="59" t="s">
        <v>200</v>
      </c>
      <c r="B13" s="274">
        <v>-17429</v>
      </c>
      <c r="C13" s="274">
        <v>-5078</v>
      </c>
    </row>
    <row r="14" spans="1:3" x14ac:dyDescent="0.25">
      <c r="A14" s="61" t="s">
        <v>201</v>
      </c>
      <c r="B14" s="275">
        <v>13126</v>
      </c>
      <c r="C14" s="275">
        <v>11987</v>
      </c>
    </row>
    <row r="15" spans="1:3" x14ac:dyDescent="0.25">
      <c r="A15" s="59" t="s">
        <v>202</v>
      </c>
      <c r="B15" s="274">
        <v>-2878</v>
      </c>
      <c r="C15" s="274">
        <v>-22</v>
      </c>
    </row>
    <row r="16" spans="1:3" x14ac:dyDescent="0.25">
      <c r="A16" s="61" t="s">
        <v>203</v>
      </c>
      <c r="B16" s="275">
        <v>22846</v>
      </c>
      <c r="C16" s="275">
        <v>8351</v>
      </c>
    </row>
    <row r="17" spans="1:3" x14ac:dyDescent="0.25">
      <c r="A17" s="252" t="s">
        <v>204</v>
      </c>
      <c r="B17" s="284">
        <v>-127900</v>
      </c>
      <c r="C17" s="284">
        <v>-90598</v>
      </c>
    </row>
    <row r="18" spans="1:3" x14ac:dyDescent="0.25">
      <c r="A18" s="2"/>
      <c r="B18" s="2"/>
      <c r="C18" s="2"/>
    </row>
    <row r="19" spans="1:3" x14ac:dyDescent="0.25">
      <c r="A19" s="236" t="s">
        <v>205</v>
      </c>
      <c r="B19" s="11"/>
      <c r="C19" s="11"/>
    </row>
    <row r="20" spans="1:3" x14ac:dyDescent="0.25">
      <c r="A20" s="59" t="s">
        <v>206</v>
      </c>
      <c r="B20" s="274">
        <v>38</v>
      </c>
      <c r="C20" s="274">
        <v>396</v>
      </c>
    </row>
    <row r="21" spans="1:3" x14ac:dyDescent="0.25">
      <c r="A21" s="61" t="s">
        <v>207</v>
      </c>
      <c r="B21" s="275">
        <v>-12469</v>
      </c>
      <c r="C21" s="275">
        <v>-125</v>
      </c>
    </row>
    <row r="22" spans="1:3" x14ac:dyDescent="0.25">
      <c r="A22" s="59" t="s">
        <v>208</v>
      </c>
      <c r="B22" s="274">
        <v>-8799</v>
      </c>
      <c r="C22" s="274">
        <v>-14354</v>
      </c>
    </row>
    <row r="23" spans="1:3" x14ac:dyDescent="0.25">
      <c r="A23" s="61" t="s">
        <v>209</v>
      </c>
      <c r="B23" s="275">
        <v>0</v>
      </c>
      <c r="C23" s="275">
        <v>56000</v>
      </c>
    </row>
    <row r="24" spans="1:3" x14ac:dyDescent="0.25">
      <c r="A24" s="59" t="s">
        <v>210</v>
      </c>
      <c r="B24" s="274">
        <v>-2213</v>
      </c>
      <c r="C24" s="274">
        <v>-8749</v>
      </c>
    </row>
    <row r="25" spans="1:3" x14ac:dyDescent="0.25">
      <c r="A25" s="61" t="s">
        <v>211</v>
      </c>
      <c r="B25" s="275">
        <v>-387</v>
      </c>
      <c r="C25" s="275">
        <v>-1900</v>
      </c>
    </row>
    <row r="26" spans="1:3" x14ac:dyDescent="0.25">
      <c r="A26" s="252" t="s">
        <v>212</v>
      </c>
      <c r="B26" s="284">
        <v>-23830</v>
      </c>
      <c r="C26" s="284">
        <v>31268</v>
      </c>
    </row>
    <row r="27" spans="1:3" x14ac:dyDescent="0.25">
      <c r="A27" s="2"/>
      <c r="B27" s="2"/>
      <c r="C27" s="2"/>
    </row>
    <row r="28" spans="1:3" x14ac:dyDescent="0.25">
      <c r="A28" s="236" t="s">
        <v>213</v>
      </c>
      <c r="B28" s="11"/>
      <c r="C28" s="11"/>
    </row>
    <row r="29" spans="1:3" x14ac:dyDescent="0.25">
      <c r="A29" s="59" t="s">
        <v>214</v>
      </c>
      <c r="B29" s="274">
        <v>-8582</v>
      </c>
      <c r="C29" s="274">
        <v>-991</v>
      </c>
    </row>
    <row r="30" spans="1:3" x14ac:dyDescent="0.25">
      <c r="A30" s="61" t="s">
        <v>215</v>
      </c>
      <c r="B30" s="275">
        <v>-25928</v>
      </c>
      <c r="C30" s="275">
        <v>0</v>
      </c>
    </row>
    <row r="31" spans="1:3" x14ac:dyDescent="0.25">
      <c r="A31" s="59" t="s">
        <v>216</v>
      </c>
      <c r="B31" s="274">
        <v>71623</v>
      </c>
      <c r="C31" s="274">
        <v>0</v>
      </c>
    </row>
    <row r="32" spans="1:3" x14ac:dyDescent="0.25">
      <c r="A32" s="61" t="s">
        <v>217</v>
      </c>
      <c r="B32" s="275">
        <v>125633</v>
      </c>
      <c r="C32" s="275">
        <v>89911</v>
      </c>
    </row>
    <row r="33" spans="1:3" x14ac:dyDescent="0.25">
      <c r="A33" s="59" t="s">
        <v>218</v>
      </c>
      <c r="B33" s="274">
        <v>-5975</v>
      </c>
      <c r="C33" s="274">
        <v>-4057</v>
      </c>
    </row>
    <row r="34" spans="1:3" x14ac:dyDescent="0.25">
      <c r="A34" s="252" t="s">
        <v>219</v>
      </c>
      <c r="B34" s="284">
        <v>156771</v>
      </c>
      <c r="C34" s="284">
        <v>109863</v>
      </c>
    </row>
    <row r="35" spans="1:3" x14ac:dyDescent="0.25">
      <c r="A35" s="2"/>
      <c r="B35" s="2"/>
      <c r="C35" s="2"/>
    </row>
    <row r="36" spans="1:3" x14ac:dyDescent="0.25">
      <c r="A36" s="59" t="s">
        <v>220</v>
      </c>
      <c r="B36" s="274">
        <v>765</v>
      </c>
      <c r="C36" s="274">
        <v>0</v>
      </c>
    </row>
    <row r="37" spans="1:3" x14ac:dyDescent="0.25">
      <c r="A37" s="244" t="s">
        <v>221</v>
      </c>
      <c r="B37" s="285">
        <v>5806</v>
      </c>
      <c r="C37" s="285">
        <v>50533</v>
      </c>
    </row>
    <row r="38" spans="1:3" x14ac:dyDescent="0.25">
      <c r="A38" s="2"/>
      <c r="B38" s="2"/>
      <c r="C38" s="2"/>
    </row>
    <row r="39" spans="1:3" x14ac:dyDescent="0.25">
      <c r="A39" s="59" t="s">
        <v>222</v>
      </c>
      <c r="B39" s="274">
        <v>91135</v>
      </c>
      <c r="C39" s="274">
        <v>40602</v>
      </c>
    </row>
    <row r="40" spans="1:3" ht="15.75" thickBot="1" x14ac:dyDescent="0.3">
      <c r="A40" s="256" t="s">
        <v>223</v>
      </c>
      <c r="B40" s="278">
        <v>96941</v>
      </c>
      <c r="C40" s="278">
        <v>91135</v>
      </c>
    </row>
    <row r="41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 Page</vt:lpstr>
      <vt:lpstr>Economic Assumptions</vt:lpstr>
      <vt:lpstr>Models -&gt;</vt:lpstr>
      <vt:lpstr>NAV Model</vt:lpstr>
      <vt:lpstr>Comps</vt:lpstr>
      <vt:lpstr>PTA</vt:lpstr>
      <vt:lpstr>Broker Summary</vt:lpstr>
      <vt:lpstr>Thesis Support -&gt;</vt:lpstr>
      <vt:lpstr>Thesis 2</vt:lpstr>
      <vt:lpstr>Mine Overview</vt:lpstr>
      <vt:lpstr>Data Inputs -&gt;</vt:lpstr>
      <vt:lpstr>Reserve &amp; Resource</vt:lpstr>
      <vt:lpstr>Production Schedule</vt:lpstr>
      <vt:lpstr>Operating Costs</vt:lpstr>
      <vt:lpstr>Concentrate Overview</vt:lpstr>
      <vt:lpstr>Capital Costs</vt:lpstr>
      <vt:lpstr>Financial Statements -&gt;</vt:lpstr>
      <vt:lpstr>Statement of Loss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Tsuji, Kyle</dc:creator>
  <cp:lastModifiedBy>Tsuji, Kyle</cp:lastModifiedBy>
  <dcterms:created xsi:type="dcterms:W3CDTF">2026-02-22T21:58:24Z</dcterms:created>
  <dcterms:modified xsi:type="dcterms:W3CDTF">2026-03-17T00:40:23Z</dcterms:modified>
</cp:coreProperties>
</file>